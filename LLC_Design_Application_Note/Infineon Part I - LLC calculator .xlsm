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Password="B695" lockStructure="1"/>
  <bookViews>
    <workbookView xWindow="-132" yWindow="468" windowWidth="23256" windowHeight="12936" tabRatio="666"/>
  </bookViews>
  <sheets>
    <sheet name="Main" sheetId="2" r:id="rId1"/>
    <sheet name="Calculation" sheetId="5" state="hidden" r:id="rId2"/>
    <sheet name="Frequency Data" sheetId="3" state="hidden" r:id="rId3"/>
    <sheet name="Terms" sheetId="16" r:id="rId4"/>
    <sheet name="Help" sheetId="15" r:id="rId5"/>
    <sheet name="versions" sheetId="25" state="hidden" r:id="rId6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6" i="2" l="1"/>
  <c r="O29" i="2" l="1"/>
  <c r="B12" i="5" l="1"/>
  <c r="B20" i="2" l="1"/>
  <c r="B7" i="5" l="1"/>
  <c r="H31" i="5" l="1"/>
  <c r="G23" i="2"/>
  <c r="B3" i="5"/>
  <c r="D3" i="5" s="1"/>
  <c r="G3" i="5" s="1"/>
  <c r="H3" i="5" s="1"/>
  <c r="B17" i="2"/>
  <c r="B9" i="5" s="1"/>
  <c r="D9" i="5" s="1"/>
  <c r="B2" i="5"/>
  <c r="D7" i="5"/>
  <c r="G31" i="5"/>
  <c r="G12" i="5" s="1"/>
  <c r="G13" i="5" s="1"/>
  <c r="V2" i="3"/>
  <c r="P23" i="2"/>
  <c r="P24" i="2"/>
  <c r="B29" i="5"/>
  <c r="D2" i="5" l="1"/>
  <c r="G2" i="5" s="1"/>
  <c r="H2" i="5" s="1"/>
  <c r="B4" i="5"/>
  <c r="B5" i="5" s="1"/>
  <c r="B24" i="2"/>
  <c r="D10" i="5"/>
  <c r="D11" i="5" s="1"/>
  <c r="D12" i="5"/>
  <c r="D13" i="5" s="1"/>
  <c r="D14" i="5" s="1"/>
  <c r="G7" i="5"/>
  <c r="H7" i="5" s="1"/>
  <c r="B13" i="5"/>
  <c r="B14" i="5" s="1"/>
  <c r="B18" i="2"/>
  <c r="B81" i="3" s="1"/>
  <c r="B19" i="2"/>
  <c r="G14" i="5"/>
  <c r="G24" i="2"/>
  <c r="B10" i="5"/>
  <c r="G9" i="5"/>
  <c r="G10" i="5" s="1"/>
  <c r="H12" i="5"/>
  <c r="H13" i="5" s="1"/>
  <c r="H14" i="5" s="1"/>
  <c r="D4" i="5" l="1"/>
  <c r="G11" i="5"/>
  <c r="H9" i="5"/>
  <c r="H10" i="5" s="1"/>
  <c r="H11" i="5" s="1"/>
  <c r="H24" i="2"/>
  <c r="B11" i="3"/>
  <c r="B177" i="3"/>
  <c r="B176" i="3"/>
  <c r="B50" i="3"/>
  <c r="B22" i="3"/>
  <c r="B9" i="3"/>
  <c r="B143" i="3"/>
  <c r="B41" i="3"/>
  <c r="B31" i="3"/>
  <c r="B123" i="3"/>
  <c r="B21" i="3"/>
  <c r="B145" i="3"/>
  <c r="B157" i="3"/>
  <c r="B33" i="3"/>
  <c r="B83" i="3"/>
  <c r="B160" i="3"/>
  <c r="B152" i="3"/>
  <c r="B97" i="3"/>
  <c r="B149" i="3"/>
  <c r="B129" i="3"/>
  <c r="B68" i="3"/>
  <c r="B24" i="3"/>
  <c r="B132" i="3"/>
  <c r="B99" i="3"/>
  <c r="B79" i="3"/>
  <c r="B63" i="3"/>
  <c r="B146" i="3"/>
  <c r="B93" i="3"/>
  <c r="B134" i="3"/>
  <c r="B120" i="3"/>
  <c r="B55" i="3"/>
  <c r="B84" i="3"/>
  <c r="B103" i="3"/>
  <c r="B153" i="3"/>
  <c r="B110" i="3"/>
  <c r="B18" i="3"/>
  <c r="B77" i="3"/>
  <c r="B25" i="3"/>
  <c r="B8" i="3"/>
  <c r="B7" i="3"/>
  <c r="B62" i="3"/>
  <c r="B56" i="3"/>
  <c r="B158" i="3"/>
  <c r="B159" i="3"/>
  <c r="B30" i="3"/>
  <c r="B180" i="3"/>
  <c r="B96" i="3"/>
  <c r="B23" i="3"/>
  <c r="B60" i="3"/>
  <c r="B114" i="3"/>
  <c r="B136" i="3"/>
  <c r="B20" i="3"/>
  <c r="B135" i="3"/>
  <c r="B51" i="3"/>
  <c r="B69" i="3"/>
  <c r="B17" i="5"/>
  <c r="B71" i="3"/>
  <c r="B90" i="3"/>
  <c r="B48" i="3"/>
  <c r="B151" i="3"/>
  <c r="B102" i="3"/>
  <c r="B168" i="3"/>
  <c r="B95" i="3"/>
  <c r="B4" i="3"/>
  <c r="B104" i="3"/>
  <c r="B6" i="3"/>
  <c r="B124" i="3"/>
  <c r="B144" i="3"/>
  <c r="B87" i="3"/>
  <c r="B64" i="3"/>
  <c r="B130" i="3"/>
  <c r="B179" i="3"/>
  <c r="B101" i="3"/>
  <c r="B43" i="3"/>
  <c r="B61" i="3"/>
  <c r="B47" i="3"/>
  <c r="B113" i="3"/>
  <c r="B175" i="3"/>
  <c r="B88" i="3"/>
  <c r="B27" i="3"/>
  <c r="B91" i="3"/>
  <c r="B139" i="3"/>
  <c r="B10" i="3"/>
  <c r="B119" i="3"/>
  <c r="B78" i="3"/>
  <c r="B73" i="3"/>
  <c r="B140" i="3"/>
  <c r="B15" i="3"/>
  <c r="B181" i="3"/>
  <c r="B76" i="3"/>
  <c r="B172" i="3"/>
  <c r="B170" i="3"/>
  <c r="B35" i="3"/>
  <c r="B174" i="3"/>
  <c r="B66" i="3"/>
  <c r="B165" i="3"/>
  <c r="B121" i="3"/>
  <c r="B65" i="3"/>
  <c r="B16" i="3"/>
  <c r="B45" i="3"/>
  <c r="B173" i="3"/>
  <c r="B108" i="3"/>
  <c r="B80" i="3"/>
  <c r="B36" i="3"/>
  <c r="B105" i="3"/>
  <c r="B19" i="3"/>
  <c r="B70" i="3"/>
  <c r="B109" i="3"/>
  <c r="B148" i="3"/>
  <c r="B3" i="3"/>
  <c r="B74" i="3"/>
  <c r="B2" i="3"/>
  <c r="B49" i="3"/>
  <c r="B59" i="3"/>
  <c r="B112" i="3"/>
  <c r="B161" i="3"/>
  <c r="B58" i="3"/>
  <c r="B167" i="3"/>
  <c r="B67" i="3"/>
  <c r="B125" i="3"/>
  <c r="B182" i="3"/>
  <c r="B106" i="3"/>
  <c r="B92" i="3"/>
  <c r="B85" i="3"/>
  <c r="B178" i="3"/>
  <c r="B82" i="3"/>
  <c r="B14" i="3"/>
  <c r="B150" i="3"/>
  <c r="B107" i="3"/>
  <c r="B72" i="3"/>
  <c r="B37" i="3"/>
  <c r="B75" i="3"/>
  <c r="B40" i="3"/>
  <c r="B100" i="3"/>
  <c r="B32" i="3"/>
  <c r="B154" i="3"/>
  <c r="B118" i="3"/>
  <c r="B138" i="3"/>
  <c r="B131" i="3"/>
  <c r="B28" i="3"/>
  <c r="B44" i="3"/>
  <c r="B94" i="3"/>
  <c r="B133" i="3"/>
  <c r="B169" i="3"/>
  <c r="B39" i="3"/>
  <c r="B122" i="3"/>
  <c r="B156" i="3"/>
  <c r="B46" i="3"/>
  <c r="B116" i="3"/>
  <c r="B164" i="3"/>
  <c r="B42" i="3"/>
  <c r="B127" i="3"/>
  <c r="B117" i="3"/>
  <c r="B17" i="3"/>
  <c r="B128" i="3"/>
  <c r="B162" i="3"/>
  <c r="B98" i="3"/>
  <c r="B34" i="3"/>
  <c r="B171" i="3"/>
  <c r="B141" i="3"/>
  <c r="B115" i="3"/>
  <c r="B86" i="3"/>
  <c r="B57" i="3"/>
  <c r="B29" i="3"/>
  <c r="B5" i="3"/>
  <c r="B54" i="3"/>
  <c r="B12" i="3"/>
  <c r="B137" i="3"/>
  <c r="B142" i="3"/>
  <c r="B147" i="3"/>
  <c r="B13" i="3"/>
  <c r="B155" i="3"/>
  <c r="B52" i="3"/>
  <c r="B126" i="3"/>
  <c r="B163" i="3"/>
  <c r="B166" i="3"/>
  <c r="B53" i="3"/>
  <c r="B38" i="3"/>
  <c r="B26" i="3"/>
  <c r="B89" i="3"/>
  <c r="B111" i="3"/>
  <c r="E43" i="3"/>
  <c r="E47" i="3"/>
  <c r="E51" i="3"/>
  <c r="E55" i="3"/>
  <c r="E59" i="3"/>
  <c r="E63" i="3"/>
  <c r="E67" i="3"/>
  <c r="E71" i="3"/>
  <c r="E75" i="3"/>
  <c r="E79" i="3"/>
  <c r="E83" i="3"/>
  <c r="E87" i="3"/>
  <c r="E91" i="3"/>
  <c r="E95" i="3"/>
  <c r="E99" i="3"/>
  <c r="E103" i="3"/>
  <c r="E107" i="3"/>
  <c r="E111" i="3"/>
  <c r="E115" i="3"/>
  <c r="E119" i="3"/>
  <c r="E123" i="3"/>
  <c r="E127" i="3"/>
  <c r="E131" i="3"/>
  <c r="E135" i="3"/>
  <c r="E139" i="3"/>
  <c r="E143" i="3"/>
  <c r="E147" i="3"/>
  <c r="E151" i="3"/>
  <c r="E155" i="3"/>
  <c r="E159" i="3"/>
  <c r="E163" i="3"/>
  <c r="E167" i="3"/>
  <c r="E171" i="3"/>
  <c r="E175" i="3"/>
  <c r="E179" i="3"/>
  <c r="E31" i="3"/>
  <c r="E35" i="3"/>
  <c r="E39" i="3"/>
  <c r="E18" i="3"/>
  <c r="E22" i="3"/>
  <c r="E26" i="3"/>
  <c r="E41" i="3"/>
  <c r="E45" i="3"/>
  <c r="E49" i="3"/>
  <c r="E53" i="3"/>
  <c r="E57" i="3"/>
  <c r="E61" i="3"/>
  <c r="E65" i="3"/>
  <c r="E69" i="3"/>
  <c r="E73" i="3"/>
  <c r="E77" i="3"/>
  <c r="E81" i="3"/>
  <c r="E85" i="3"/>
  <c r="E89" i="3"/>
  <c r="E93" i="3"/>
  <c r="E97" i="3"/>
  <c r="E101" i="3"/>
  <c r="E105" i="3"/>
  <c r="E109" i="3"/>
  <c r="E113" i="3"/>
  <c r="E117" i="3"/>
  <c r="E121" i="3"/>
  <c r="E125" i="3"/>
  <c r="E129" i="3"/>
  <c r="E133" i="3"/>
  <c r="E137" i="3"/>
  <c r="E141" i="3"/>
  <c r="E145" i="3"/>
  <c r="E149" i="3"/>
  <c r="E153" i="3"/>
  <c r="E157" i="3"/>
  <c r="E161" i="3"/>
  <c r="E165" i="3"/>
  <c r="E169" i="3"/>
  <c r="E173" i="3"/>
  <c r="E177" i="3"/>
  <c r="E181" i="3"/>
  <c r="E33" i="3"/>
  <c r="E37" i="3"/>
  <c r="E24" i="3"/>
  <c r="E3" i="3"/>
  <c r="E48" i="3"/>
  <c r="E56" i="3"/>
  <c r="E64" i="3"/>
  <c r="E72" i="3"/>
  <c r="E80" i="3"/>
  <c r="E88" i="3"/>
  <c r="E96" i="3"/>
  <c r="E104" i="3"/>
  <c r="E112" i="3"/>
  <c r="E120" i="3"/>
  <c r="E128" i="3"/>
  <c r="E136" i="3"/>
  <c r="E144" i="3"/>
  <c r="E152" i="3"/>
  <c r="E160" i="3"/>
  <c r="E168" i="3"/>
  <c r="E176" i="3"/>
  <c r="E32" i="3"/>
  <c r="E40" i="3"/>
  <c r="E14" i="3"/>
  <c r="E27" i="3"/>
  <c r="E42" i="3"/>
  <c r="E50" i="3"/>
  <c r="E58" i="3"/>
  <c r="E74" i="3"/>
  <c r="E82" i="3"/>
  <c r="E98" i="3"/>
  <c r="E114" i="3"/>
  <c r="E130" i="3"/>
  <c r="E146" i="3"/>
  <c r="E162" i="3"/>
  <c r="E178" i="3"/>
  <c r="E34" i="3"/>
  <c r="E16" i="3"/>
  <c r="E25" i="3"/>
  <c r="E9" i="3"/>
  <c r="E44" i="3"/>
  <c r="E52" i="3"/>
  <c r="E60" i="3"/>
  <c r="E68" i="3"/>
  <c r="E76" i="3"/>
  <c r="E84" i="3"/>
  <c r="E92" i="3"/>
  <c r="E100" i="3"/>
  <c r="E108" i="3"/>
  <c r="E116" i="3"/>
  <c r="E124" i="3"/>
  <c r="E132" i="3"/>
  <c r="E140" i="3"/>
  <c r="E148" i="3"/>
  <c r="E156" i="3"/>
  <c r="E164" i="3"/>
  <c r="E172" i="3"/>
  <c r="E180" i="3"/>
  <c r="E36" i="3"/>
  <c r="E8" i="3"/>
  <c r="E4" i="3"/>
  <c r="E23" i="3"/>
  <c r="E15" i="3"/>
  <c r="E7" i="3"/>
  <c r="E46" i="3"/>
  <c r="E54" i="3"/>
  <c r="E62" i="3"/>
  <c r="E70" i="3"/>
  <c r="E78" i="3"/>
  <c r="E86" i="3"/>
  <c r="E94" i="3"/>
  <c r="E102" i="3"/>
  <c r="E110" i="3"/>
  <c r="E118" i="3"/>
  <c r="E126" i="3"/>
  <c r="E134" i="3"/>
  <c r="E142" i="3"/>
  <c r="E150" i="3"/>
  <c r="E158" i="3"/>
  <c r="E166" i="3"/>
  <c r="E174" i="3"/>
  <c r="E182" i="3"/>
  <c r="E30" i="3"/>
  <c r="E38" i="3"/>
  <c r="E10" i="3"/>
  <c r="E28" i="3"/>
  <c r="E29" i="3"/>
  <c r="E21" i="3"/>
  <c r="E13" i="3"/>
  <c r="E5" i="3"/>
  <c r="E20" i="3"/>
  <c r="E19" i="3"/>
  <c r="E11" i="3"/>
  <c r="E2" i="3"/>
  <c r="E66" i="3"/>
  <c r="E90" i="3"/>
  <c r="E106" i="3"/>
  <c r="E122" i="3"/>
  <c r="E138" i="3"/>
  <c r="E154" i="3"/>
  <c r="E170" i="3"/>
  <c r="E6" i="3"/>
  <c r="E12" i="3"/>
  <c r="E17" i="3"/>
  <c r="B11" i="5"/>
  <c r="D17" i="5" l="1"/>
  <c r="G17" i="5" s="1"/>
  <c r="H23" i="2"/>
  <c r="H17" i="5" l="1"/>
  <c r="B19" i="5"/>
  <c r="K23" i="2"/>
  <c r="D23" i="2" l="1"/>
  <c r="B21" i="5"/>
  <c r="B25" i="5" s="1"/>
  <c r="I23" i="2" l="1"/>
  <c r="C89" i="3"/>
  <c r="J89" i="3" s="1"/>
  <c r="C19" i="3"/>
  <c r="J19" i="3" s="1"/>
  <c r="C82" i="3"/>
  <c r="J82" i="3" s="1"/>
  <c r="C176" i="3"/>
  <c r="J176" i="3" s="1"/>
  <c r="C11" i="3"/>
  <c r="J11" i="3" s="1"/>
  <c r="C32" i="3"/>
  <c r="J32" i="3" s="1"/>
  <c r="C161" i="3"/>
  <c r="J161" i="3" s="1"/>
  <c r="C110" i="3"/>
  <c r="J110" i="3" s="1"/>
  <c r="C136" i="3"/>
  <c r="J136" i="3" s="1"/>
  <c r="C47" i="3"/>
  <c r="J47" i="3" s="1"/>
  <c r="C178" i="3"/>
  <c r="J178" i="3" s="1"/>
  <c r="C7" i="3"/>
  <c r="J7" i="3" s="1"/>
  <c r="C77" i="3"/>
  <c r="J77" i="3" s="1"/>
  <c r="C90" i="3"/>
  <c r="J90" i="3" s="1"/>
  <c r="C52" i="3"/>
  <c r="J52" i="3" s="1"/>
  <c r="C180" i="3"/>
  <c r="J180" i="3" s="1"/>
  <c r="C23" i="3"/>
  <c r="J23" i="3" s="1"/>
  <c r="C31" i="3"/>
  <c r="J31" i="3" s="1"/>
  <c r="C172" i="3"/>
  <c r="J172" i="3" s="1"/>
  <c r="C40" i="3"/>
  <c r="J40" i="3" s="1"/>
  <c r="C137" i="3"/>
  <c r="J137" i="3" s="1"/>
  <c r="C103" i="3"/>
  <c r="J103" i="3" s="1"/>
  <c r="C177" i="3"/>
  <c r="J177" i="3" s="1"/>
  <c r="C152" i="3"/>
  <c r="J152" i="3" s="1"/>
  <c r="C12" i="3"/>
  <c r="J12" i="3" s="1"/>
  <c r="C30" i="3"/>
  <c r="J30" i="3" s="1"/>
  <c r="C10" i="3"/>
  <c r="J10" i="3" s="1"/>
  <c r="C127" i="3"/>
  <c r="J127" i="3" s="1"/>
  <c r="C181" i="3"/>
  <c r="J181" i="3" s="1"/>
  <c r="C75" i="3"/>
  <c r="J75" i="3" s="1"/>
  <c r="C42" i="3"/>
  <c r="J42" i="3" s="1"/>
  <c r="E23" i="2"/>
  <c r="C147" i="3"/>
  <c r="J147" i="3" s="1"/>
  <c r="C78" i="3"/>
  <c r="J78" i="3" s="1"/>
  <c r="C26" i="3"/>
  <c r="J26" i="3" s="1"/>
  <c r="C8" i="3"/>
  <c r="J8" i="3" s="1"/>
  <c r="C157" i="3"/>
  <c r="J157" i="3" s="1"/>
  <c r="C118" i="3"/>
  <c r="J118" i="3" s="1"/>
  <c r="C87" i="3"/>
  <c r="J87" i="3" s="1"/>
  <c r="C81" i="3"/>
  <c r="J81" i="3" s="1"/>
  <c r="C59" i="3"/>
  <c r="J59" i="3" s="1"/>
  <c r="C9" i="3"/>
  <c r="J9" i="3" s="1"/>
  <c r="C64" i="3"/>
  <c r="J64" i="3" s="1"/>
  <c r="C93" i="3"/>
  <c r="J93" i="3" s="1"/>
  <c r="C68" i="3"/>
  <c r="J68" i="3" s="1"/>
  <c r="C80" i="3"/>
  <c r="J80" i="3" s="1"/>
  <c r="C121" i="3"/>
  <c r="J121" i="3" s="1"/>
  <c r="C105" i="3"/>
  <c r="J105" i="3" s="1"/>
  <c r="C128" i="3"/>
  <c r="J128" i="3" s="1"/>
  <c r="C71" i="3"/>
  <c r="J71" i="3" s="1"/>
  <c r="C97" i="3"/>
  <c r="J97" i="3" s="1"/>
  <c r="C46" i="3"/>
  <c r="J46" i="3" s="1"/>
  <c r="C168" i="3"/>
  <c r="J168" i="3" s="1"/>
  <c r="C101" i="3"/>
  <c r="J101" i="3" s="1"/>
  <c r="C144" i="3"/>
  <c r="J144" i="3" s="1"/>
  <c r="C109" i="3"/>
  <c r="J109" i="3" s="1"/>
  <c r="C70" i="3"/>
  <c r="J70" i="3" s="1"/>
  <c r="C148" i="3"/>
  <c r="J148" i="3" s="1"/>
  <c r="C99" i="3"/>
  <c r="J99" i="3" s="1"/>
  <c r="C74" i="3"/>
  <c r="J74" i="3" s="1"/>
  <c r="C60" i="3"/>
  <c r="J60" i="3" s="1"/>
  <c r="C114" i="3"/>
  <c r="J114" i="3" s="1"/>
  <c r="C49" i="3"/>
  <c r="J49" i="3" s="1"/>
  <c r="C88" i="3"/>
  <c r="J88" i="3" s="1"/>
  <c r="C33" i="3"/>
  <c r="J33" i="3" s="1"/>
  <c r="C34" i="3"/>
  <c r="J34" i="3" s="1"/>
  <c r="C158" i="3"/>
  <c r="J158" i="3" s="1"/>
  <c r="C166" i="3"/>
  <c r="J166" i="3" s="1"/>
  <c r="C76" i="3"/>
  <c r="J76" i="3" s="1"/>
  <c r="C175" i="3"/>
  <c r="J175" i="3" s="1"/>
  <c r="C37" i="3"/>
  <c r="J37" i="3" s="1"/>
  <c r="C25" i="3"/>
  <c r="J25" i="3" s="1"/>
  <c r="C155" i="3"/>
  <c r="J155" i="3" s="1"/>
  <c r="C102" i="3"/>
  <c r="J102" i="3" s="1"/>
  <c r="C108" i="3"/>
  <c r="J108" i="3" s="1"/>
  <c r="C22" i="3"/>
  <c r="J22" i="3" s="1"/>
  <c r="C156" i="3"/>
  <c r="J156" i="3" s="1"/>
  <c r="C131" i="3"/>
  <c r="J131" i="3" s="1"/>
  <c r="C182" i="3"/>
  <c r="J182" i="3" s="1"/>
  <c r="C140" i="3"/>
  <c r="J140" i="3" s="1"/>
  <c r="B23" i="5"/>
  <c r="F23" i="2" s="1"/>
  <c r="C14" i="3"/>
  <c r="J14" i="3" s="1"/>
  <c r="C153" i="3"/>
  <c r="J153" i="3" s="1"/>
  <c r="C67" i="3"/>
  <c r="J67" i="3" s="1"/>
  <c r="C135" i="3"/>
  <c r="J135" i="3" s="1"/>
  <c r="C129" i="3"/>
  <c r="J129" i="3" s="1"/>
  <c r="C174" i="3"/>
  <c r="J174" i="3" s="1"/>
  <c r="C18" i="3"/>
  <c r="J18" i="3" s="1"/>
  <c r="C169" i="3"/>
  <c r="J169" i="3" s="1"/>
  <c r="C6" i="3"/>
  <c r="J6" i="3" s="1"/>
  <c r="C141" i="3"/>
  <c r="J141" i="3" s="1"/>
  <c r="C134" i="3"/>
  <c r="J134" i="3" s="1"/>
  <c r="C43" i="3"/>
  <c r="J43" i="3" s="1"/>
  <c r="C16" i="3"/>
  <c r="J16" i="3" s="1"/>
  <c r="C44" i="3"/>
  <c r="J44" i="3" s="1"/>
  <c r="C149" i="3"/>
  <c r="J149" i="3" s="1"/>
  <c r="C112" i="3"/>
  <c r="J112" i="3" s="1"/>
  <c r="C113" i="3"/>
  <c r="J113" i="3" s="1"/>
  <c r="C51" i="3"/>
  <c r="J51" i="3" s="1"/>
  <c r="C117" i="3"/>
  <c r="J117" i="3" s="1"/>
  <c r="C4" i="3"/>
  <c r="J4" i="3" s="1"/>
  <c r="C61" i="3"/>
  <c r="J61" i="3" s="1"/>
  <c r="C100" i="3"/>
  <c r="J100" i="3" s="1"/>
  <c r="C119" i="3"/>
  <c r="J119" i="3" s="1"/>
  <c r="C2" i="3"/>
  <c r="J2" i="3" s="1"/>
  <c r="C27" i="3"/>
  <c r="J27" i="3" s="1"/>
  <c r="C138" i="3"/>
  <c r="J138" i="3" s="1"/>
  <c r="C139" i="3"/>
  <c r="J139" i="3" s="1"/>
  <c r="C132" i="3"/>
  <c r="J132" i="3" s="1"/>
  <c r="C163" i="3"/>
  <c r="J163" i="3" s="1"/>
  <c r="C56" i="3"/>
  <c r="J56" i="3" s="1"/>
  <c r="C50" i="3"/>
  <c r="J50" i="3" s="1"/>
  <c r="C107" i="3"/>
  <c r="J107" i="3" s="1"/>
  <c r="C39" i="3"/>
  <c r="J39" i="3" s="1"/>
  <c r="C21" i="3"/>
  <c r="J21" i="3" s="1"/>
  <c r="C36" i="3"/>
  <c r="J36" i="3" s="1"/>
  <c r="C63" i="3"/>
  <c r="J63" i="3" s="1"/>
  <c r="C66" i="3"/>
  <c r="J66" i="3" s="1"/>
  <c r="C83" i="3"/>
  <c r="J83" i="3" s="1"/>
  <c r="C95" i="3"/>
  <c r="J95" i="3" s="1"/>
  <c r="C84" i="3"/>
  <c r="J84" i="3" s="1"/>
  <c r="C38" i="3"/>
  <c r="J38" i="3" s="1"/>
  <c r="C124" i="3"/>
  <c r="J124" i="3" s="1"/>
  <c r="C162" i="3"/>
  <c r="J162" i="3" s="1"/>
  <c r="C150" i="3"/>
  <c r="J150" i="3" s="1"/>
  <c r="C125" i="3"/>
  <c r="J125" i="3" s="1"/>
  <c r="C151" i="3"/>
  <c r="J151" i="3" s="1"/>
  <c r="C145" i="3"/>
  <c r="J145" i="3" s="1"/>
  <c r="C160" i="3"/>
  <c r="J160" i="3" s="1"/>
  <c r="C86" i="3"/>
  <c r="J86" i="3" s="1"/>
  <c r="C122" i="3"/>
  <c r="J122" i="3" s="1"/>
  <c r="C170" i="3"/>
  <c r="J170" i="3" s="1"/>
  <c r="C94" i="3"/>
  <c r="J94" i="3" s="1"/>
  <c r="C65" i="3"/>
  <c r="J65" i="3" s="1"/>
  <c r="C111" i="3"/>
  <c r="J111" i="3" s="1"/>
  <c r="C173" i="3"/>
  <c r="J173" i="3" s="1"/>
  <c r="C24" i="3"/>
  <c r="J24" i="3" s="1"/>
  <c r="C20" i="3"/>
  <c r="J20" i="3" s="1"/>
  <c r="C79" i="3"/>
  <c r="J79" i="3" s="1"/>
  <c r="C146" i="3"/>
  <c r="J146" i="3" s="1"/>
  <c r="C133" i="3"/>
  <c r="J133" i="3" s="1"/>
  <c r="C53" i="3"/>
  <c r="J53" i="3" s="1"/>
  <c r="C28" i="3"/>
  <c r="J28" i="3" s="1"/>
  <c r="C91" i="3"/>
  <c r="J91" i="3" s="1"/>
  <c r="C115" i="3"/>
  <c r="J115" i="3" s="1"/>
  <c r="C57" i="3"/>
  <c r="J57" i="3" s="1"/>
  <c r="C159" i="3"/>
  <c r="J159" i="3" s="1"/>
  <c r="C72" i="3"/>
  <c r="J72" i="3" s="1"/>
  <c r="C96" i="3"/>
  <c r="J96" i="3" s="1"/>
  <c r="C116" i="3"/>
  <c r="J116" i="3" s="1"/>
  <c r="C55" i="3"/>
  <c r="J55" i="3" s="1"/>
  <c r="C3" i="3"/>
  <c r="J3" i="3" s="1"/>
  <c r="C54" i="3"/>
  <c r="J54" i="3" s="1"/>
  <c r="C164" i="3"/>
  <c r="J164" i="3" s="1"/>
  <c r="C62" i="3"/>
  <c r="J62" i="3" s="1"/>
  <c r="C5" i="3"/>
  <c r="J5" i="3" s="1"/>
  <c r="C143" i="3"/>
  <c r="J143" i="3" s="1"/>
  <c r="C98" i="3"/>
  <c r="J98" i="3" s="1"/>
  <c r="B27" i="5"/>
  <c r="J23" i="2" s="1"/>
  <c r="C48" i="3"/>
  <c r="J48" i="3" s="1"/>
  <c r="C126" i="3"/>
  <c r="J126" i="3" s="1"/>
  <c r="C69" i="3"/>
  <c r="J69" i="3" s="1"/>
  <c r="C165" i="3"/>
  <c r="J165" i="3" s="1"/>
  <c r="C73" i="3"/>
  <c r="J73" i="3" s="1"/>
  <c r="C15" i="3"/>
  <c r="J15" i="3" s="1"/>
  <c r="C130" i="3"/>
  <c r="J130" i="3" s="1"/>
  <c r="C154" i="3"/>
  <c r="J154" i="3" s="1"/>
  <c r="C35" i="3"/>
  <c r="J35" i="3" s="1"/>
  <c r="C58" i="3"/>
  <c r="J58" i="3" s="1"/>
  <c r="C92" i="3"/>
  <c r="J92" i="3" s="1"/>
  <c r="C167" i="3"/>
  <c r="J167" i="3" s="1"/>
  <c r="C45" i="3"/>
  <c r="J45" i="3" s="1"/>
  <c r="C123" i="3"/>
  <c r="J123" i="3" s="1"/>
  <c r="C171" i="3"/>
  <c r="J171" i="3" s="1"/>
  <c r="C41" i="3"/>
  <c r="J41" i="3" s="1"/>
  <c r="C29" i="3"/>
  <c r="J29" i="3" s="1"/>
  <c r="C13" i="3"/>
  <c r="J13" i="3" s="1"/>
  <c r="C106" i="3"/>
  <c r="J106" i="3" s="1"/>
  <c r="C179" i="3"/>
  <c r="J179" i="3" s="1"/>
  <c r="C85" i="3"/>
  <c r="J85" i="3" s="1"/>
  <c r="C120" i="3"/>
  <c r="J120" i="3" s="1"/>
  <c r="C104" i="3"/>
  <c r="J104" i="3" s="1"/>
  <c r="C142" i="3"/>
  <c r="J142" i="3" s="1"/>
  <c r="C17" i="3"/>
  <c r="J17" i="3" s="1"/>
  <c r="J184" i="3" l="1"/>
  <c r="J185" i="3" s="1"/>
  <c r="J186" i="3" s="1"/>
  <c r="L23" i="2" s="1"/>
  <c r="G108" i="3" s="1"/>
  <c r="D5" i="5" l="1"/>
  <c r="D19" i="5" s="1"/>
  <c r="G4" i="5"/>
  <c r="H4" i="5" s="1"/>
  <c r="G48" i="3"/>
  <c r="G128" i="3"/>
  <c r="G44" i="3"/>
  <c r="G15" i="3"/>
  <c r="G180" i="3"/>
  <c r="G170" i="3"/>
  <c r="G141" i="3"/>
  <c r="G78" i="3"/>
  <c r="G42" i="3"/>
  <c r="G84" i="3"/>
  <c r="G14" i="3"/>
  <c r="G161" i="3"/>
  <c r="G134" i="3"/>
  <c r="G137" i="3"/>
  <c r="G175" i="3"/>
  <c r="G132" i="3"/>
  <c r="G167" i="3"/>
  <c r="G105" i="3"/>
  <c r="G138" i="3"/>
  <c r="G18" i="3"/>
  <c r="G143" i="3"/>
  <c r="G7" i="3"/>
  <c r="G109" i="3"/>
  <c r="G130" i="3"/>
  <c r="G117" i="3"/>
  <c r="G50" i="3"/>
  <c r="G5" i="3"/>
  <c r="G119" i="3"/>
  <c r="G37" i="3"/>
  <c r="G53" i="3"/>
  <c r="G80" i="3"/>
  <c r="G3" i="3"/>
  <c r="G79" i="3"/>
  <c r="G163" i="3"/>
  <c r="G166" i="3"/>
  <c r="G123" i="3"/>
  <c r="G145" i="3"/>
  <c r="G107" i="3"/>
  <c r="G91" i="3"/>
  <c r="G115" i="3"/>
  <c r="G147" i="3"/>
  <c r="G76" i="3"/>
  <c r="G74" i="3"/>
  <c r="G118" i="3"/>
  <c r="G19" i="3"/>
  <c r="G75" i="3"/>
  <c r="G178" i="3"/>
  <c r="G33" i="3"/>
  <c r="G177" i="3"/>
  <c r="G69" i="3"/>
  <c r="G71" i="3"/>
  <c r="G28" i="3"/>
  <c r="G66" i="3"/>
  <c r="G43" i="3"/>
  <c r="G65" i="3"/>
  <c r="G125" i="3"/>
  <c r="G154" i="3"/>
  <c r="G58" i="3"/>
  <c r="G64" i="3"/>
  <c r="G25" i="3"/>
  <c r="G181" i="3"/>
  <c r="G102" i="3"/>
  <c r="G24" i="3"/>
  <c r="G100" i="3"/>
  <c r="G173" i="3"/>
  <c r="G113" i="3"/>
  <c r="G38" i="3"/>
  <c r="G101" i="3"/>
  <c r="G77" i="3"/>
  <c r="G32" i="3"/>
  <c r="G31" i="3"/>
  <c r="G144" i="3"/>
  <c r="G129" i="3"/>
  <c r="G35" i="3"/>
  <c r="G59" i="3"/>
  <c r="G140" i="3"/>
  <c r="G162" i="3"/>
  <c r="G120" i="3"/>
  <c r="G156" i="3"/>
  <c r="G13" i="3"/>
  <c r="G153" i="3"/>
  <c r="G168" i="3"/>
  <c r="G26" i="3"/>
  <c r="G121" i="3"/>
  <c r="G142" i="3"/>
  <c r="G122" i="3"/>
  <c r="G98" i="3"/>
  <c r="G97" i="3"/>
  <c r="G8" i="3"/>
  <c r="G82" i="3"/>
  <c r="G21" i="3"/>
  <c r="G72" i="3"/>
  <c r="G103" i="3"/>
  <c r="G20" i="3"/>
  <c r="G150" i="3"/>
  <c r="G68" i="3"/>
  <c r="G70" i="3"/>
  <c r="G86" i="3"/>
  <c r="G54" i="3"/>
  <c r="G89" i="3"/>
  <c r="G46" i="3"/>
  <c r="G85" i="3"/>
  <c r="G148" i="3"/>
  <c r="G87" i="3"/>
  <c r="G171" i="3"/>
  <c r="G45" i="3"/>
  <c r="G34" i="3"/>
  <c r="G81" i="3"/>
  <c r="G23" i="3"/>
  <c r="G126" i="3"/>
  <c r="G111" i="3"/>
  <c r="G29" i="3"/>
  <c r="G62" i="3"/>
  <c r="G27" i="3"/>
  <c r="G52" i="3"/>
  <c r="G67" i="3"/>
  <c r="G152" i="3"/>
  <c r="G110" i="3"/>
  <c r="G159" i="3"/>
  <c r="G169" i="3"/>
  <c r="G131" i="3"/>
  <c r="G149" i="3"/>
  <c r="G56" i="3"/>
  <c r="G60" i="3"/>
  <c r="G116" i="3"/>
  <c r="G57" i="3"/>
  <c r="G41" i="3"/>
  <c r="G164" i="3"/>
  <c r="G6" i="3"/>
  <c r="G93" i="3"/>
  <c r="G146" i="3"/>
  <c r="G112" i="3"/>
  <c r="G40" i="3"/>
  <c r="G51" i="3"/>
  <c r="G158" i="3"/>
  <c r="G12" i="3"/>
  <c r="G96" i="3"/>
  <c r="G174" i="3"/>
  <c r="G30" i="3"/>
  <c r="G99" i="3"/>
  <c r="G88" i="3"/>
  <c r="G9" i="3"/>
  <c r="G165" i="3"/>
  <c r="G136" i="3"/>
  <c r="G2" i="3"/>
  <c r="G157" i="3"/>
  <c r="G73" i="3"/>
  <c r="G83" i="3"/>
  <c r="G10" i="3"/>
  <c r="G176" i="3"/>
  <c r="G95" i="3"/>
  <c r="G39" i="3"/>
  <c r="G124" i="3"/>
  <c r="G55" i="3"/>
  <c r="G36" i="3"/>
  <c r="G160" i="3"/>
  <c r="G49" i="3"/>
  <c r="G182" i="3"/>
  <c r="G104" i="3"/>
  <c r="G135" i="3"/>
  <c r="G114" i="3"/>
  <c r="G172" i="3"/>
  <c r="G90" i="3"/>
  <c r="G179" i="3"/>
  <c r="G94" i="3"/>
  <c r="G127" i="3"/>
  <c r="G61" i="3"/>
  <c r="G22" i="3"/>
  <c r="G4" i="3"/>
  <c r="G155" i="3"/>
  <c r="G92" i="3"/>
  <c r="G11" i="3"/>
  <c r="G106" i="3"/>
  <c r="G133" i="3"/>
  <c r="G151" i="3"/>
  <c r="G16" i="3"/>
  <c r="G47" i="3"/>
  <c r="G63" i="3"/>
  <c r="G139" i="3"/>
  <c r="G17" i="3"/>
  <c r="D21" i="5" l="1"/>
  <c r="D25" i="5" s="1"/>
  <c r="D24" i="2"/>
  <c r="K24" i="2"/>
  <c r="G5" i="5"/>
  <c r="H5" i="5" s="1"/>
  <c r="H19" i="5"/>
  <c r="H35" i="5" s="1"/>
  <c r="G19" i="5"/>
  <c r="G35" i="5" s="1"/>
  <c r="G25" i="5" l="1"/>
  <c r="I24" i="2"/>
  <c r="H25" i="5"/>
  <c r="D27" i="5"/>
  <c r="J24" i="2" s="1"/>
  <c r="S2" i="3"/>
  <c r="D23" i="5"/>
  <c r="O31" i="3"/>
  <c r="S11" i="3"/>
  <c r="O94" i="3"/>
  <c r="O115" i="3"/>
  <c r="S103" i="3"/>
  <c r="O68" i="3"/>
  <c r="S20" i="3"/>
  <c r="O111" i="3"/>
  <c r="O56" i="3"/>
  <c r="S174" i="3"/>
  <c r="O180" i="3"/>
  <c r="O166" i="3"/>
  <c r="S158" i="3"/>
  <c r="O176" i="3"/>
  <c r="O143" i="3"/>
  <c r="S47" i="3"/>
  <c r="S176" i="3"/>
  <c r="S107" i="3"/>
  <c r="O141" i="3"/>
  <c r="O125" i="3"/>
  <c r="O132" i="3"/>
  <c r="S28" i="3"/>
  <c r="S39" i="3"/>
  <c r="O22" i="3"/>
  <c r="S135" i="3"/>
  <c r="S169" i="3"/>
  <c r="S144" i="3"/>
  <c r="O62" i="3"/>
  <c r="O114" i="3"/>
  <c r="O63" i="3"/>
  <c r="S77" i="3"/>
  <c r="O83" i="3"/>
  <c r="O116" i="3"/>
  <c r="S49" i="3"/>
  <c r="O93" i="3"/>
  <c r="S172" i="3"/>
  <c r="O60" i="3"/>
  <c r="O81" i="3"/>
  <c r="S32" i="3"/>
  <c r="S159" i="3"/>
  <c r="S128" i="3"/>
  <c r="S74" i="3"/>
  <c r="O88" i="3"/>
  <c r="O171" i="3"/>
  <c r="O12" i="3"/>
  <c r="S4" i="3"/>
  <c r="S147" i="3"/>
  <c r="O164" i="3"/>
  <c r="O19" i="3"/>
  <c r="O147" i="3"/>
  <c r="S121" i="3"/>
  <c r="O90" i="3"/>
  <c r="S41" i="3"/>
  <c r="O113" i="3"/>
  <c r="S165" i="3"/>
  <c r="S64" i="3"/>
  <c r="S24" i="3"/>
  <c r="S56" i="3"/>
  <c r="S8" i="3"/>
  <c r="S82" i="3"/>
  <c r="O110" i="3"/>
  <c r="O10" i="3"/>
  <c r="S149" i="3"/>
  <c r="S27" i="3"/>
  <c r="O169" i="3"/>
  <c r="S155" i="3"/>
  <c r="O41" i="3"/>
  <c r="S6" i="3"/>
  <c r="O39" i="3"/>
  <c r="O107" i="3"/>
  <c r="S79" i="3"/>
  <c r="O162" i="3"/>
  <c r="S180" i="3"/>
  <c r="S5" i="3"/>
  <c r="O133" i="3"/>
  <c r="O59" i="3"/>
  <c r="O33" i="3"/>
  <c r="S131" i="3"/>
  <c r="O102" i="3"/>
  <c r="S139" i="3"/>
  <c r="S44" i="3"/>
  <c r="S137" i="3"/>
  <c r="S129" i="3"/>
  <c r="S164" i="3"/>
  <c r="S112" i="3"/>
  <c r="E24" i="2"/>
  <c r="O142" i="3"/>
  <c r="S58" i="3"/>
  <c r="O5" i="3"/>
  <c r="O8" i="3"/>
  <c r="S142" i="3"/>
  <c r="S60" i="3"/>
  <c r="O2" i="3"/>
  <c r="S156" i="3"/>
  <c r="S93" i="3"/>
  <c r="O9" i="3"/>
  <c r="S143" i="3"/>
  <c r="S130" i="3"/>
  <c r="S178" i="3"/>
  <c r="S9" i="3"/>
  <c r="O11" i="3"/>
  <c r="S75" i="3"/>
  <c r="S114" i="3"/>
  <c r="O136" i="3"/>
  <c r="S78" i="3"/>
  <c r="O69" i="3"/>
  <c r="S150" i="3"/>
  <c r="S108" i="3"/>
  <c r="S62" i="3"/>
  <c r="O92" i="3"/>
  <c r="S51" i="3"/>
  <c r="O55" i="3"/>
  <c r="O35" i="3"/>
  <c r="O79" i="3"/>
  <c r="S54" i="3"/>
  <c r="O74" i="3"/>
  <c r="S145" i="3"/>
  <c r="O75" i="3"/>
  <c r="S53" i="3"/>
  <c r="O45" i="3"/>
  <c r="S3" i="3"/>
  <c r="O32" i="3"/>
  <c r="S116" i="3"/>
  <c r="O25" i="3"/>
  <c r="S138" i="3"/>
  <c r="S15" i="3"/>
  <c r="S106" i="3"/>
  <c r="S33" i="3"/>
  <c r="O148" i="3"/>
  <c r="O61" i="3"/>
  <c r="S182" i="3"/>
  <c r="S168" i="3"/>
  <c r="S118" i="3"/>
  <c r="S123" i="3"/>
  <c r="O155" i="3"/>
  <c r="O172" i="3"/>
  <c r="S65" i="3"/>
  <c r="S109" i="3"/>
  <c r="S34" i="3"/>
  <c r="S7" i="3"/>
  <c r="O70" i="3"/>
  <c r="O151" i="3"/>
  <c r="O104" i="3"/>
  <c r="S38" i="3"/>
  <c r="S71" i="3"/>
  <c r="S90" i="3"/>
  <c r="S68" i="3"/>
  <c r="O71" i="3"/>
  <c r="S162" i="3"/>
  <c r="S13" i="3"/>
  <c r="S119" i="3"/>
  <c r="O123" i="3"/>
  <c r="S175" i="3"/>
  <c r="O177" i="3"/>
  <c r="O84" i="3"/>
  <c r="S122" i="3"/>
  <c r="O64" i="3"/>
  <c r="O109" i="3"/>
  <c r="S173" i="3"/>
  <c r="S161" i="3"/>
  <c r="O99" i="3"/>
  <c r="S110" i="3"/>
  <c r="O174" i="3"/>
  <c r="O144" i="3"/>
  <c r="O150" i="3"/>
  <c r="O65" i="3"/>
  <c r="S73" i="3"/>
  <c r="S136" i="3"/>
  <c r="O42" i="3"/>
  <c r="O40" i="3"/>
  <c r="S152" i="3"/>
  <c r="S120" i="3"/>
  <c r="O73" i="3"/>
  <c r="O16" i="3"/>
  <c r="O160" i="3"/>
  <c r="S85" i="3"/>
  <c r="O89" i="3"/>
  <c r="O121" i="3"/>
  <c r="S67" i="3"/>
  <c r="O118" i="3"/>
  <c r="O82" i="3"/>
  <c r="S96" i="3"/>
  <c r="S95" i="3"/>
  <c r="O119" i="3"/>
  <c r="O127" i="3"/>
  <c r="S57" i="3"/>
  <c r="O130" i="3"/>
  <c r="O85" i="3"/>
  <c r="O23" i="3"/>
  <c r="S10" i="3"/>
  <c r="O97" i="3"/>
  <c r="O57" i="3"/>
  <c r="S104" i="3"/>
  <c r="S97" i="3"/>
  <c r="S153" i="3"/>
  <c r="O139" i="3"/>
  <c r="O91" i="3"/>
  <c r="S166" i="3"/>
  <c r="O30" i="3"/>
  <c r="O145" i="3"/>
  <c r="O26" i="3"/>
  <c r="S98" i="3"/>
  <c r="O49" i="3"/>
  <c r="O29" i="3"/>
  <c r="O135" i="3"/>
  <c r="O78" i="3"/>
  <c r="O36" i="3"/>
  <c r="O122" i="3"/>
  <c r="O179" i="3"/>
  <c r="O168" i="3"/>
  <c r="S29" i="3"/>
  <c r="O96" i="3"/>
  <c r="O137" i="3"/>
  <c r="S31" i="3"/>
  <c r="S111" i="3"/>
  <c r="O106" i="3"/>
  <c r="O34" i="3"/>
  <c r="O7" i="3"/>
  <c r="O129" i="3"/>
  <c r="O21" i="3"/>
  <c r="O28" i="3"/>
  <c r="O86" i="3"/>
  <c r="O134" i="3"/>
  <c r="S40" i="3"/>
  <c r="O48" i="3"/>
  <c r="S83" i="3"/>
  <c r="S134" i="3"/>
  <c r="S92" i="3"/>
  <c r="S177" i="3"/>
  <c r="O146" i="3"/>
  <c r="S59" i="3"/>
  <c r="S42" i="3"/>
  <c r="S16" i="3"/>
  <c r="O3" i="3"/>
  <c r="S66" i="3"/>
  <c r="O43" i="3"/>
  <c r="S50" i="3"/>
  <c r="S76" i="3"/>
  <c r="S154" i="3"/>
  <c r="O47" i="3"/>
  <c r="O152" i="3"/>
  <c r="O53" i="3"/>
  <c r="O95" i="3"/>
  <c r="O100" i="3"/>
  <c r="O37" i="3"/>
  <c r="S70" i="3"/>
  <c r="D12" i="3"/>
  <c r="L12" i="3" s="1"/>
  <c r="D80" i="3"/>
  <c r="L80" i="3" s="1"/>
  <c r="D109" i="3"/>
  <c r="L109" i="3" s="1"/>
  <c r="D88" i="3"/>
  <c r="L88" i="3" s="1"/>
  <c r="D25" i="3"/>
  <c r="L25" i="3" s="1"/>
  <c r="D140" i="3"/>
  <c r="L140" i="3" s="1"/>
  <c r="D132" i="3"/>
  <c r="L132" i="3" s="1"/>
  <c r="D29" i="3"/>
  <c r="L29" i="3" s="1"/>
  <c r="D28" i="3"/>
  <c r="L28" i="3" s="1"/>
  <c r="D137" i="3"/>
  <c r="L137" i="3" s="1"/>
  <c r="D30" i="3"/>
  <c r="L30" i="3" s="1"/>
  <c r="D56" i="3"/>
  <c r="L56" i="3" s="1"/>
  <c r="D103" i="3"/>
  <c r="L103" i="3" s="1"/>
  <c r="D101" i="3"/>
  <c r="L101" i="3" s="1"/>
  <c r="D16" i="3"/>
  <c r="L16" i="3" s="1"/>
  <c r="D181" i="3"/>
  <c r="L181" i="3" s="1"/>
  <c r="D156" i="3"/>
  <c r="L156" i="3" s="1"/>
  <c r="D130" i="3"/>
  <c r="L130" i="3" s="1"/>
  <c r="D165" i="3"/>
  <c r="L165" i="3" s="1"/>
  <c r="D85" i="3"/>
  <c r="L85" i="3" s="1"/>
  <c r="D62" i="3"/>
  <c r="L62" i="3" s="1"/>
  <c r="S126" i="3"/>
  <c r="S19" i="3"/>
  <c r="S89" i="3"/>
  <c r="S72" i="3"/>
  <c r="S99" i="3"/>
  <c r="O101" i="3"/>
  <c r="S181" i="3"/>
  <c r="S105" i="3"/>
  <c r="S170" i="3"/>
  <c r="O4" i="3"/>
  <c r="O44" i="3"/>
  <c r="S21" i="3"/>
  <c r="O163" i="3"/>
  <c r="S61" i="3"/>
  <c r="S115" i="3"/>
  <c r="O98" i="3"/>
  <c r="S101" i="3"/>
  <c r="O87" i="3"/>
  <c r="O15" i="3"/>
  <c r="S140" i="3"/>
  <c r="O158" i="3"/>
  <c r="S55" i="3"/>
  <c r="O20" i="3"/>
  <c r="S48" i="3"/>
  <c r="S35" i="3"/>
  <c r="O54" i="3"/>
  <c r="S23" i="3"/>
  <c r="S113" i="3"/>
  <c r="S17" i="3"/>
  <c r="O24" i="3"/>
  <c r="S69" i="3"/>
  <c r="S12" i="3"/>
  <c r="S46" i="3"/>
  <c r="O80" i="3"/>
  <c r="O175" i="3"/>
  <c r="S43" i="3"/>
  <c r="S86" i="3"/>
  <c r="S63" i="3"/>
  <c r="O165" i="3"/>
  <c r="D37" i="3"/>
  <c r="L37" i="3" s="1"/>
  <c r="D158" i="3"/>
  <c r="L158" i="3" s="1"/>
  <c r="D53" i="3"/>
  <c r="L53" i="3" s="1"/>
  <c r="D120" i="3"/>
  <c r="L120" i="3" s="1"/>
  <c r="D66" i="3"/>
  <c r="L66" i="3" s="1"/>
  <c r="D65" i="3"/>
  <c r="L65" i="3" s="1"/>
  <c r="D61" i="3"/>
  <c r="L61" i="3" s="1"/>
  <c r="D121" i="3"/>
  <c r="L121" i="3" s="1"/>
  <c r="D146" i="3"/>
  <c r="L146" i="3" s="1"/>
  <c r="D166" i="3"/>
  <c r="L166" i="3" s="1"/>
  <c r="D42" i="3"/>
  <c r="L42" i="3" s="1"/>
  <c r="D123" i="3"/>
  <c r="L123" i="3" s="1"/>
  <c r="D4" i="3"/>
  <c r="L4" i="3" s="1"/>
  <c r="D149" i="3"/>
  <c r="L149" i="3" s="1"/>
  <c r="D26" i="3"/>
  <c r="L26" i="3" s="1"/>
  <c r="D17" i="3"/>
  <c r="L17" i="3" s="1"/>
  <c r="S141" i="3"/>
  <c r="O167" i="3"/>
  <c r="S160" i="3"/>
  <c r="S80" i="3"/>
  <c r="S22" i="3"/>
  <c r="S18" i="3"/>
  <c r="O14" i="3"/>
  <c r="S14" i="3"/>
  <c r="S87" i="3"/>
  <c r="O161" i="3"/>
  <c r="S163" i="3"/>
  <c r="O120" i="3"/>
  <c r="O157" i="3"/>
  <c r="O58" i="3"/>
  <c r="S36" i="3"/>
  <c r="S84" i="3"/>
  <c r="O140" i="3"/>
  <c r="O153" i="3"/>
  <c r="O27" i="3"/>
  <c r="S37" i="3"/>
  <c r="O149" i="3"/>
  <c r="O76" i="3"/>
  <c r="O159" i="3"/>
  <c r="S81" i="3"/>
  <c r="O170" i="3"/>
  <c r="O138" i="3"/>
  <c r="S127" i="3"/>
  <c r="O13" i="3"/>
  <c r="O50" i="3"/>
  <c r="O182" i="3"/>
  <c r="S100" i="3"/>
  <c r="O117" i="3"/>
  <c r="O66" i="3"/>
  <c r="O173" i="3"/>
  <c r="S125" i="3"/>
  <c r="O126" i="3"/>
  <c r="O46" i="3"/>
  <c r="O124" i="3"/>
  <c r="S133" i="3"/>
  <c r="D59" i="3"/>
  <c r="L59" i="3" s="1"/>
  <c r="D76" i="3"/>
  <c r="L76" i="3" s="1"/>
  <c r="D147" i="3"/>
  <c r="L147" i="3" s="1"/>
  <c r="D54" i="3"/>
  <c r="L54" i="3" s="1"/>
  <c r="D71" i="3"/>
  <c r="L71" i="3" s="1"/>
  <c r="D41" i="3"/>
  <c r="L41" i="3" s="1"/>
  <c r="D155" i="3"/>
  <c r="L155" i="3" s="1"/>
  <c r="D14" i="3"/>
  <c r="L14" i="3" s="1"/>
  <c r="D177" i="3"/>
  <c r="L177" i="3" s="1"/>
  <c r="D116" i="3"/>
  <c r="L116" i="3" s="1"/>
  <c r="D107" i="3"/>
  <c r="L107" i="3" s="1"/>
  <c r="D67" i="3"/>
  <c r="L67" i="3" s="1"/>
  <c r="D9" i="3"/>
  <c r="L9" i="3" s="1"/>
  <c r="D35" i="3"/>
  <c r="L35" i="3" s="1"/>
  <c r="D143" i="3"/>
  <c r="L143" i="3" s="1"/>
  <c r="O72" i="3"/>
  <c r="O108" i="3"/>
  <c r="S146" i="3"/>
  <c r="S148" i="3"/>
  <c r="O103" i="3"/>
  <c r="O156" i="3"/>
  <c r="S157" i="3"/>
  <c r="S45" i="3"/>
  <c r="S179" i="3"/>
  <c r="O181" i="3"/>
  <c r="D72" i="3"/>
  <c r="L72" i="3" s="1"/>
  <c r="D49" i="3"/>
  <c r="L49" i="3" s="1"/>
  <c r="D5" i="3"/>
  <c r="L5" i="3" s="1"/>
  <c r="D39" i="3"/>
  <c r="L39" i="3" s="1"/>
  <c r="D164" i="3"/>
  <c r="L164" i="3" s="1"/>
  <c r="D111" i="3"/>
  <c r="L111" i="3" s="1"/>
  <c r="D22" i="3"/>
  <c r="L22" i="3" s="1"/>
  <c r="D91" i="3"/>
  <c r="L91" i="3" s="1"/>
  <c r="D78" i="3"/>
  <c r="L78" i="3" s="1"/>
  <c r="S167" i="3"/>
  <c r="O178" i="3"/>
  <c r="O6" i="3"/>
  <c r="O77" i="3"/>
  <c r="O67" i="3"/>
  <c r="S91" i="3"/>
  <c r="S151" i="3"/>
  <c r="O17" i="3"/>
  <c r="O131" i="3"/>
  <c r="D40" i="3"/>
  <c r="L40" i="3" s="1"/>
  <c r="D47" i="3"/>
  <c r="L47" i="3" s="1"/>
  <c r="D145" i="3"/>
  <c r="L145" i="3" s="1"/>
  <c r="D82" i="3"/>
  <c r="L82" i="3" s="1"/>
  <c r="D175" i="3"/>
  <c r="L175" i="3" s="1"/>
  <c r="D182" i="3"/>
  <c r="L182" i="3" s="1"/>
  <c r="D169" i="3"/>
  <c r="L169" i="3" s="1"/>
  <c r="D119" i="3"/>
  <c r="L119" i="3" s="1"/>
  <c r="D51" i="3"/>
  <c r="L51" i="3" s="1"/>
  <c r="D43" i="3"/>
  <c r="L43" i="3" s="1"/>
  <c r="D153" i="3"/>
  <c r="L153" i="3" s="1"/>
  <c r="D48" i="3"/>
  <c r="L48" i="3" s="1"/>
  <c r="D33" i="3"/>
  <c r="L33" i="3" s="1"/>
  <c r="D64" i="3"/>
  <c r="L64" i="3" s="1"/>
  <c r="D60" i="3"/>
  <c r="L60" i="3" s="1"/>
  <c r="D170" i="3"/>
  <c r="L170" i="3" s="1"/>
  <c r="D142" i="3"/>
  <c r="L142" i="3" s="1"/>
  <c r="D90" i="3"/>
  <c r="L90" i="3" s="1"/>
  <c r="D69" i="3"/>
  <c r="L69" i="3" s="1"/>
  <c r="D138" i="3"/>
  <c r="L138" i="3" s="1"/>
  <c r="D105" i="3"/>
  <c r="L105" i="3" s="1"/>
  <c r="D102" i="3"/>
  <c r="L102" i="3" s="1"/>
  <c r="D150" i="3"/>
  <c r="L150" i="3" s="1"/>
  <c r="D106" i="3"/>
  <c r="L106" i="3" s="1"/>
  <c r="D73" i="3"/>
  <c r="L73" i="3" s="1"/>
  <c r="D27" i="3"/>
  <c r="L27" i="3" s="1"/>
  <c r="D84" i="3"/>
  <c r="L84" i="3" s="1"/>
  <c r="D87" i="3"/>
  <c r="L87" i="3" s="1"/>
  <c r="D152" i="3"/>
  <c r="L152" i="3" s="1"/>
  <c r="D98" i="3"/>
  <c r="L98" i="3" s="1"/>
  <c r="D144" i="3"/>
  <c r="L144" i="3" s="1"/>
  <c r="D24" i="3"/>
  <c r="L24" i="3" s="1"/>
  <c r="D70" i="3"/>
  <c r="L70" i="3" s="1"/>
  <c r="D129" i="3"/>
  <c r="L129" i="3" s="1"/>
  <c r="D86" i="3"/>
  <c r="L86" i="3" s="1"/>
  <c r="S102" i="3"/>
  <c r="S30" i="3"/>
  <c r="S171" i="3"/>
  <c r="S132" i="3"/>
  <c r="S124" i="3"/>
  <c r="O154" i="3"/>
  <c r="O18" i="3"/>
  <c r="S26" i="3"/>
  <c r="O51" i="3"/>
  <c r="S88" i="3"/>
  <c r="D46" i="3"/>
  <c r="L46" i="3" s="1"/>
  <c r="D134" i="3"/>
  <c r="L134" i="3" s="1"/>
  <c r="D3" i="3"/>
  <c r="L3" i="3" s="1"/>
  <c r="D128" i="3"/>
  <c r="L128" i="3" s="1"/>
  <c r="D104" i="3"/>
  <c r="L104" i="3" s="1"/>
  <c r="D172" i="3"/>
  <c r="L172" i="3" s="1"/>
  <c r="D141" i="3"/>
  <c r="L141" i="3" s="1"/>
  <c r="D63" i="3"/>
  <c r="L63" i="3" s="1"/>
  <c r="D13" i="3"/>
  <c r="L13" i="3" s="1"/>
  <c r="D83" i="3"/>
  <c r="L83" i="3" s="1"/>
  <c r="D162" i="3"/>
  <c r="L162" i="3" s="1"/>
  <c r="D32" i="3"/>
  <c r="L32" i="3" s="1"/>
  <c r="D44" i="3"/>
  <c r="L44" i="3" s="1"/>
  <c r="D113" i="3"/>
  <c r="L113" i="3" s="1"/>
  <c r="S25" i="3"/>
  <c r="O52" i="3"/>
  <c r="D79" i="3"/>
  <c r="L79" i="3" s="1"/>
  <c r="D11" i="3"/>
  <c r="L11" i="3" s="1"/>
  <c r="D171" i="3"/>
  <c r="L171" i="3" s="1"/>
  <c r="D36" i="3"/>
  <c r="L36" i="3" s="1"/>
  <c r="D52" i="3"/>
  <c r="L52" i="3" s="1"/>
  <c r="D31" i="3"/>
  <c r="L31" i="3" s="1"/>
  <c r="D96" i="3"/>
  <c r="L96" i="3" s="1"/>
  <c r="D57" i="3"/>
  <c r="L57" i="3" s="1"/>
  <c r="D179" i="3"/>
  <c r="L179" i="3" s="1"/>
  <c r="D74" i="3"/>
  <c r="L74" i="3" s="1"/>
  <c r="D124" i="3"/>
  <c r="L124" i="3" s="1"/>
  <c r="D148" i="3"/>
  <c r="L148" i="3" s="1"/>
  <c r="D178" i="3"/>
  <c r="L178" i="3" s="1"/>
  <c r="O128" i="3"/>
  <c r="O112" i="3"/>
  <c r="D151" i="3"/>
  <c r="L151" i="3" s="1"/>
  <c r="D163" i="3"/>
  <c r="L163" i="3" s="1"/>
  <c r="D81" i="3"/>
  <c r="L81" i="3" s="1"/>
  <c r="D34" i="3"/>
  <c r="L34" i="3" s="1"/>
  <c r="D18" i="3"/>
  <c r="L18" i="3" s="1"/>
  <c r="D131" i="3"/>
  <c r="L131" i="3" s="1"/>
  <c r="D126" i="3"/>
  <c r="L126" i="3" s="1"/>
  <c r="D20" i="3"/>
  <c r="L20" i="3" s="1"/>
  <c r="D167" i="3"/>
  <c r="L167" i="3" s="1"/>
  <c r="S52" i="3"/>
  <c r="S94" i="3"/>
  <c r="O38" i="3"/>
  <c r="D99" i="3"/>
  <c r="L99" i="3" s="1"/>
  <c r="D108" i="3"/>
  <c r="L108" i="3" s="1"/>
  <c r="D174" i="3"/>
  <c r="L174" i="3" s="1"/>
  <c r="D117" i="3"/>
  <c r="L117" i="3" s="1"/>
  <c r="D94" i="3"/>
  <c r="L94" i="3" s="1"/>
  <c r="D133" i="3"/>
  <c r="L133" i="3" s="1"/>
  <c r="D77" i="3"/>
  <c r="L77" i="3" s="1"/>
  <c r="D23" i="3"/>
  <c r="L23" i="3" s="1"/>
  <c r="D114" i="3"/>
  <c r="L114" i="3" s="1"/>
  <c r="D93" i="3"/>
  <c r="L93" i="3" s="1"/>
  <c r="D55" i="3"/>
  <c r="L55" i="3" s="1"/>
  <c r="D21" i="3"/>
  <c r="L21" i="3" s="1"/>
  <c r="D38" i="3"/>
  <c r="L38" i="3" s="1"/>
  <c r="D95" i="3"/>
  <c r="L95" i="3" s="1"/>
  <c r="O105" i="3"/>
  <c r="D45" i="3"/>
  <c r="L45" i="3" s="1"/>
  <c r="D135" i="3"/>
  <c r="L135" i="3" s="1"/>
  <c r="D8" i="3"/>
  <c r="L8" i="3" s="1"/>
  <c r="D50" i="3"/>
  <c r="L50" i="3" s="1"/>
  <c r="D118" i="3"/>
  <c r="L118" i="3" s="1"/>
  <c r="D92" i="3"/>
  <c r="L92" i="3" s="1"/>
  <c r="H21" i="5"/>
  <c r="D115" i="3"/>
  <c r="L115" i="3" s="1"/>
  <c r="D127" i="3"/>
  <c r="L127" i="3" s="1"/>
  <c r="D168" i="3"/>
  <c r="L168" i="3" s="1"/>
  <c r="D19" i="3"/>
  <c r="L19" i="3" s="1"/>
  <c r="D7" i="3"/>
  <c r="L7" i="3" s="1"/>
  <c r="D180" i="3"/>
  <c r="L180" i="3" s="1"/>
  <c r="D176" i="3"/>
  <c r="L176" i="3" s="1"/>
  <c r="D173" i="3"/>
  <c r="L173" i="3" s="1"/>
  <c r="G21" i="5"/>
  <c r="D154" i="3"/>
  <c r="L154" i="3" s="1"/>
  <c r="D100" i="3"/>
  <c r="L100" i="3" s="1"/>
  <c r="D136" i="3"/>
  <c r="L136" i="3" s="1"/>
  <c r="D15" i="3"/>
  <c r="L15" i="3" s="1"/>
  <c r="D10" i="3"/>
  <c r="L10" i="3" s="1"/>
  <c r="D58" i="3"/>
  <c r="L58" i="3" s="1"/>
  <c r="D75" i="3"/>
  <c r="L75" i="3" s="1"/>
  <c r="D161" i="3"/>
  <c r="L161" i="3" s="1"/>
  <c r="D122" i="3"/>
  <c r="L122" i="3" s="1"/>
  <c r="D125" i="3"/>
  <c r="L125" i="3" s="1"/>
  <c r="D160" i="3"/>
  <c r="L160" i="3" s="1"/>
  <c r="S117" i="3"/>
  <c r="D112" i="3"/>
  <c r="L112" i="3" s="1"/>
  <c r="D97" i="3"/>
  <c r="L97" i="3" s="1"/>
  <c r="D139" i="3"/>
  <c r="L139" i="3" s="1"/>
  <c r="D6" i="3"/>
  <c r="L6" i="3" s="1"/>
  <c r="D157" i="3"/>
  <c r="L157" i="3" s="1"/>
  <c r="D110" i="3"/>
  <c r="L110" i="3" s="1"/>
  <c r="D68" i="3"/>
  <c r="L68" i="3" s="1"/>
  <c r="D2" i="3"/>
  <c r="L2" i="3" s="1"/>
  <c r="D159" i="3"/>
  <c r="L159" i="3" s="1"/>
  <c r="D89" i="3"/>
  <c r="L89" i="3" s="1"/>
  <c r="G23" i="5" l="1"/>
  <c r="F24" i="2"/>
  <c r="H23" i="5"/>
  <c r="L184" i="3"/>
  <c r="L185" i="3" s="1"/>
  <c r="L186" i="3" s="1"/>
  <c r="L24" i="2" s="1"/>
  <c r="G27" i="5"/>
  <c r="P28" i="2" s="1"/>
  <c r="G36" i="5"/>
  <c r="G38" i="5" s="1"/>
  <c r="H27" i="5"/>
  <c r="P29" i="2" s="1"/>
  <c r="H36" i="5"/>
  <c r="H38" i="5" s="1"/>
  <c r="G39" i="5" l="1"/>
  <c r="G33" i="5"/>
  <c r="H39" i="5"/>
  <c r="H33" i="5"/>
  <c r="H7" i="3"/>
  <c r="H101" i="3"/>
  <c r="H143" i="3"/>
  <c r="H39" i="3"/>
  <c r="H170" i="3"/>
  <c r="H117" i="3"/>
  <c r="H115" i="3"/>
  <c r="H163" i="3"/>
  <c r="H133" i="3"/>
  <c r="H162" i="3"/>
  <c r="H124" i="3"/>
  <c r="H139" i="3"/>
  <c r="H43" i="3"/>
  <c r="H144" i="3"/>
  <c r="H123" i="3"/>
  <c r="H148" i="3"/>
  <c r="H164" i="3"/>
  <c r="H47" i="3"/>
  <c r="H178" i="3"/>
  <c r="H86" i="3"/>
  <c r="H8" i="3"/>
  <c r="H103" i="3"/>
  <c r="H155" i="3"/>
  <c r="H173" i="3"/>
  <c r="H96" i="3"/>
  <c r="H172" i="3"/>
  <c r="H112" i="3"/>
  <c r="H121" i="3"/>
  <c r="H12" i="3"/>
  <c r="H25" i="3"/>
  <c r="H89" i="3"/>
  <c r="H60" i="3"/>
  <c r="H168" i="3"/>
  <c r="H111" i="3"/>
  <c r="H32" i="3"/>
  <c r="H154" i="3"/>
  <c r="H157" i="3"/>
  <c r="H110" i="3"/>
  <c r="H82" i="3"/>
  <c r="H2" i="3"/>
  <c r="H160" i="3"/>
  <c r="H53" i="3"/>
  <c r="H55" i="3"/>
  <c r="H56" i="3"/>
  <c r="H129" i="3"/>
  <c r="H158" i="3"/>
  <c r="H16" i="3"/>
  <c r="H130" i="3"/>
  <c r="H76" i="3"/>
  <c r="H80" i="3"/>
  <c r="H161" i="3"/>
  <c r="H95" i="3"/>
  <c r="H81" i="3"/>
  <c r="H6" i="3"/>
  <c r="H166" i="3"/>
  <c r="H104" i="3"/>
  <c r="H52" i="3"/>
  <c r="H106" i="3"/>
  <c r="H120" i="3"/>
  <c r="H165" i="3"/>
  <c r="H84" i="3"/>
  <c r="H125" i="3"/>
  <c r="H88" i="3"/>
  <c r="H5" i="3"/>
  <c r="H58" i="3"/>
  <c r="H31" i="3"/>
  <c r="H79" i="3"/>
  <c r="H83" i="3"/>
  <c r="H141" i="3"/>
  <c r="H40" i="3"/>
  <c r="H21" i="3"/>
  <c r="H54" i="3"/>
  <c r="H138" i="3"/>
  <c r="H136" i="3"/>
  <c r="H99" i="3"/>
  <c r="H10" i="3"/>
  <c r="H127" i="3"/>
  <c r="H33" i="3"/>
  <c r="H24" i="3"/>
  <c r="H159" i="3"/>
  <c r="H18" i="3"/>
  <c r="H171" i="3"/>
  <c r="H65" i="3"/>
  <c r="H140" i="3"/>
  <c r="H131" i="3"/>
  <c r="H152" i="3"/>
  <c r="H26" i="3"/>
  <c r="H75" i="3"/>
  <c r="H118" i="3"/>
  <c r="H102" i="3"/>
  <c r="H38" i="3"/>
  <c r="H135" i="3"/>
  <c r="H37" i="3"/>
  <c r="H134" i="3"/>
  <c r="H128" i="3"/>
  <c r="H175" i="3"/>
  <c r="H48" i="3"/>
  <c r="H74" i="3"/>
  <c r="H27" i="3"/>
  <c r="H176" i="3"/>
  <c r="H62" i="3"/>
  <c r="H69" i="3"/>
  <c r="H59" i="3"/>
  <c r="H30" i="3"/>
  <c r="H92" i="3"/>
  <c r="H36" i="3"/>
  <c r="H182" i="3"/>
  <c r="H15" i="3"/>
  <c r="H11" i="3"/>
  <c r="H67" i="3"/>
  <c r="H22" i="3"/>
  <c r="H71" i="3"/>
  <c r="H126" i="3"/>
  <c r="H85" i="3"/>
  <c r="H61" i="3"/>
  <c r="H174" i="3"/>
  <c r="H35" i="3"/>
  <c r="H4" i="3"/>
  <c r="H147" i="3"/>
  <c r="H91" i="3"/>
  <c r="H68" i="3"/>
  <c r="H77" i="3"/>
  <c r="H113" i="3"/>
  <c r="H116" i="3"/>
  <c r="H19" i="3"/>
  <c r="H180" i="3"/>
  <c r="H179" i="3"/>
  <c r="H90" i="3"/>
  <c r="H13" i="3"/>
  <c r="H119" i="3"/>
  <c r="H105" i="3"/>
  <c r="H142" i="3"/>
  <c r="H122" i="3"/>
  <c r="H108" i="3"/>
  <c r="H49" i="3"/>
  <c r="H28" i="3"/>
  <c r="H70" i="3"/>
  <c r="H150" i="3"/>
  <c r="H50" i="3"/>
  <c r="H156" i="3"/>
  <c r="H94" i="3"/>
  <c r="H100" i="3"/>
  <c r="H181" i="3"/>
  <c r="H93" i="3"/>
  <c r="H87" i="3"/>
  <c r="H177" i="3"/>
  <c r="H97" i="3"/>
  <c r="H153" i="3"/>
  <c r="H169" i="3"/>
  <c r="H72" i="3"/>
  <c r="H167" i="3"/>
  <c r="H151" i="3"/>
  <c r="H3" i="3"/>
  <c r="H146" i="3"/>
  <c r="H51" i="3"/>
  <c r="H42" i="3"/>
  <c r="H107" i="3"/>
  <c r="H46" i="3"/>
  <c r="H41" i="3"/>
  <c r="H63" i="3"/>
  <c r="H137" i="3"/>
  <c r="H20" i="3"/>
  <c r="H14" i="3"/>
  <c r="H114" i="3"/>
  <c r="H73" i="3"/>
  <c r="H23" i="3"/>
  <c r="H78" i="3"/>
  <c r="H66" i="3"/>
  <c r="H98" i="3"/>
  <c r="H29" i="3"/>
  <c r="H34" i="3"/>
  <c r="H57" i="3"/>
  <c r="H109" i="3"/>
  <c r="H44" i="3"/>
  <c r="H17" i="3"/>
  <c r="H9" i="3"/>
  <c r="H145" i="3"/>
  <c r="H45" i="3"/>
  <c r="H132" i="3"/>
  <c r="H149" i="3"/>
  <c r="H64" i="3"/>
  <c r="A188" i="3" l="1"/>
  <c r="O188" i="3" s="1"/>
  <c r="R28" i="2" s="1"/>
  <c r="Q28" i="2"/>
  <c r="A189" i="3"/>
  <c r="S189" i="3" s="1"/>
  <c r="R29" i="2" s="1"/>
  <c r="Q29" i="2"/>
  <c r="R80" i="3" l="1"/>
  <c r="R142" i="3"/>
  <c r="R178" i="3"/>
  <c r="R35" i="3"/>
  <c r="R17" i="3"/>
  <c r="R64" i="3"/>
  <c r="R170" i="3"/>
  <c r="R177" i="3"/>
  <c r="R23" i="3"/>
  <c r="R30" i="3"/>
  <c r="R108" i="3"/>
  <c r="R59" i="3"/>
  <c r="R149" i="3"/>
  <c r="R44" i="3"/>
  <c r="R83" i="3"/>
  <c r="R102" i="3"/>
  <c r="R169" i="3"/>
  <c r="R117" i="3"/>
  <c r="R65" i="3"/>
  <c r="R8" i="3"/>
  <c r="R68" i="3"/>
  <c r="R36" i="3"/>
  <c r="R5" i="3"/>
  <c r="R101" i="3"/>
  <c r="R138" i="3"/>
  <c r="R24" i="3"/>
  <c r="R51" i="3"/>
  <c r="R157" i="3"/>
  <c r="R91" i="3"/>
  <c r="R71" i="3"/>
  <c r="R10" i="3"/>
  <c r="R42" i="3"/>
  <c r="R34" i="3"/>
  <c r="R119" i="3"/>
  <c r="R46" i="3"/>
  <c r="R122" i="3"/>
  <c r="R40" i="3"/>
  <c r="R137" i="3"/>
  <c r="R25" i="3"/>
  <c r="R154" i="3"/>
  <c r="R139" i="3"/>
  <c r="R28" i="3"/>
  <c r="R16" i="3"/>
  <c r="R111" i="3"/>
  <c r="R39" i="3"/>
  <c r="R78" i="3"/>
  <c r="R72" i="3"/>
  <c r="R127" i="3"/>
  <c r="R99" i="3"/>
  <c r="R85" i="3"/>
  <c r="R84" i="3"/>
  <c r="R29" i="3"/>
  <c r="R163" i="3"/>
  <c r="R21" i="3"/>
  <c r="R152" i="3"/>
  <c r="R26" i="3"/>
  <c r="R171" i="3"/>
  <c r="R173" i="3"/>
  <c r="R94" i="3"/>
  <c r="R115" i="3"/>
  <c r="R97" i="3"/>
  <c r="R73" i="3"/>
  <c r="R145" i="3"/>
  <c r="R147" i="3"/>
  <c r="R136" i="3"/>
  <c r="R31" i="3"/>
  <c r="R45" i="3"/>
  <c r="R12" i="3"/>
  <c r="R126" i="3"/>
  <c r="R144" i="3"/>
  <c r="R166" i="3"/>
  <c r="R69" i="3"/>
  <c r="R52" i="3"/>
  <c r="R79" i="3"/>
  <c r="R161" i="3"/>
  <c r="R18" i="3"/>
  <c r="R2" i="3"/>
  <c r="R153" i="3"/>
  <c r="R49" i="3"/>
  <c r="R176" i="3"/>
  <c r="R70" i="3"/>
  <c r="R107" i="3"/>
  <c r="R103" i="3"/>
  <c r="R181" i="3"/>
  <c r="R158" i="3"/>
  <c r="R109" i="3"/>
  <c r="R179" i="3"/>
  <c r="R98" i="3"/>
  <c r="R140" i="3"/>
  <c r="R14" i="3"/>
  <c r="R174" i="3"/>
  <c r="R48" i="3"/>
  <c r="R76" i="3"/>
  <c r="R133" i="3"/>
  <c r="R15" i="3"/>
  <c r="R77" i="3"/>
  <c r="R132" i="3"/>
  <c r="R135" i="3"/>
  <c r="R57" i="3"/>
  <c r="R160" i="3"/>
  <c r="R150" i="3"/>
  <c r="R121" i="3"/>
  <c r="R90" i="3"/>
  <c r="R129" i="3"/>
  <c r="R43" i="3"/>
  <c r="R146" i="3"/>
  <c r="R162" i="3"/>
  <c r="R11" i="3"/>
  <c r="R47" i="3"/>
  <c r="R75" i="3"/>
  <c r="R81" i="3"/>
  <c r="R125" i="3"/>
  <c r="R50" i="3"/>
  <c r="R168" i="3"/>
  <c r="R87" i="3"/>
  <c r="R54" i="3"/>
  <c r="R74" i="3"/>
  <c r="R41" i="3"/>
  <c r="R38" i="3"/>
  <c r="R13" i="3"/>
  <c r="R110" i="3"/>
  <c r="R143" i="3"/>
  <c r="R92" i="3"/>
  <c r="R165" i="3"/>
  <c r="R37" i="3"/>
  <c r="R96" i="3"/>
  <c r="R53" i="3"/>
  <c r="R62" i="3"/>
  <c r="R155" i="3"/>
  <c r="R106" i="3"/>
  <c r="R88" i="3"/>
  <c r="R89" i="3"/>
  <c r="R141" i="3"/>
  <c r="R182" i="3"/>
  <c r="R4" i="3"/>
  <c r="R148" i="3"/>
  <c r="R33" i="3"/>
  <c r="R63" i="3"/>
  <c r="R7" i="3"/>
  <c r="R164" i="3"/>
  <c r="R172" i="3"/>
  <c r="R86" i="3"/>
  <c r="R66" i="3"/>
  <c r="R60" i="3"/>
  <c r="R156" i="3"/>
  <c r="R9" i="3"/>
  <c r="R134" i="3"/>
  <c r="R167" i="3"/>
  <c r="R105" i="3"/>
  <c r="R58" i="3"/>
  <c r="R151" i="3"/>
  <c r="R27" i="3"/>
  <c r="R116" i="3"/>
  <c r="R82" i="3"/>
  <c r="R118" i="3"/>
  <c r="R95" i="3"/>
  <c r="R114" i="3"/>
  <c r="R6" i="3"/>
  <c r="R56" i="3"/>
  <c r="R32" i="3"/>
  <c r="R128" i="3"/>
  <c r="R100" i="3"/>
  <c r="R55" i="3"/>
  <c r="R20" i="3"/>
  <c r="R22" i="3"/>
  <c r="R104" i="3"/>
  <c r="R112" i="3"/>
  <c r="R124" i="3"/>
  <c r="R113" i="3"/>
  <c r="R93" i="3"/>
  <c r="R175" i="3"/>
  <c r="R61" i="3"/>
  <c r="R180" i="3"/>
  <c r="R131" i="3"/>
  <c r="R130" i="3"/>
  <c r="R3" i="3"/>
  <c r="R19" i="3"/>
  <c r="R123" i="3"/>
  <c r="R120" i="3"/>
  <c r="R159" i="3"/>
  <c r="R67" i="3"/>
  <c r="N107" i="3"/>
  <c r="N62" i="3"/>
  <c r="N101" i="3"/>
  <c r="N86" i="3"/>
  <c r="N125" i="3"/>
  <c r="N100" i="3"/>
  <c r="N117" i="3"/>
  <c r="N58" i="3"/>
  <c r="N105" i="3"/>
  <c r="N111" i="3"/>
  <c r="N37" i="3"/>
  <c r="N87" i="3"/>
  <c r="N32" i="3"/>
  <c r="N14" i="3"/>
  <c r="N116" i="3"/>
  <c r="N71" i="3"/>
  <c r="N65" i="3"/>
  <c r="N29" i="3"/>
  <c r="N41" i="3"/>
  <c r="N99" i="3"/>
  <c r="N171" i="3"/>
  <c r="N4" i="3"/>
  <c r="N95" i="3"/>
  <c r="N139" i="3"/>
  <c r="N78" i="3"/>
  <c r="N150" i="3"/>
  <c r="N97" i="3"/>
  <c r="N28" i="3"/>
  <c r="N178" i="3"/>
  <c r="N147" i="3"/>
  <c r="N57" i="3"/>
  <c r="N166" i="3"/>
  <c r="N67" i="3"/>
  <c r="N121" i="3"/>
  <c r="N16" i="3"/>
  <c r="N165" i="3"/>
  <c r="N110" i="3"/>
  <c r="N161" i="3"/>
  <c r="N18" i="3"/>
  <c r="N89" i="3"/>
  <c r="N135" i="3"/>
  <c r="N164" i="3"/>
  <c r="N155" i="3"/>
  <c r="N13" i="3"/>
  <c r="N120" i="3"/>
  <c r="N80" i="3"/>
  <c r="N11" i="3"/>
  <c r="N81" i="3"/>
  <c r="N17" i="3"/>
  <c r="N44" i="3"/>
  <c r="N169" i="3"/>
  <c r="N64" i="3"/>
  <c r="N55" i="3"/>
  <c r="N148" i="3"/>
  <c r="N8" i="3"/>
  <c r="N157" i="3"/>
  <c r="N5" i="3"/>
  <c r="N123" i="3"/>
  <c r="N60" i="3"/>
  <c r="N159" i="3"/>
  <c r="N83" i="3"/>
  <c r="N144" i="3"/>
  <c r="N30" i="3"/>
  <c r="N167" i="3"/>
  <c r="N113" i="3"/>
  <c r="N76" i="3"/>
  <c r="N163" i="3"/>
  <c r="N6" i="3"/>
  <c r="N181" i="3"/>
  <c r="N48" i="3"/>
  <c r="N130" i="3"/>
  <c r="N20" i="3"/>
  <c r="N92" i="3"/>
  <c r="N10" i="3"/>
  <c r="N141" i="3"/>
  <c r="N94" i="3"/>
  <c r="N112" i="3"/>
  <c r="N124" i="3"/>
  <c r="N42" i="3"/>
  <c r="N133" i="3"/>
  <c r="N75" i="3"/>
  <c r="N180" i="3"/>
  <c r="N114" i="3"/>
  <c r="N7" i="3"/>
  <c r="N31" i="3"/>
  <c r="N153" i="3"/>
  <c r="N140" i="3"/>
  <c r="N118" i="3"/>
  <c r="N69" i="3"/>
  <c r="N68" i="3"/>
  <c r="N104" i="3"/>
  <c r="N174" i="3"/>
  <c r="N49" i="3"/>
  <c r="N175" i="3"/>
  <c r="N108" i="3"/>
  <c r="N33" i="3"/>
  <c r="N59" i="3"/>
  <c r="N134" i="3"/>
  <c r="N66" i="3"/>
  <c r="N85" i="3"/>
  <c r="N177" i="3"/>
  <c r="N103" i="3"/>
  <c r="N77" i="3"/>
  <c r="N21" i="3"/>
  <c r="N70" i="3"/>
  <c r="N63" i="3"/>
  <c r="N122" i="3"/>
  <c r="N22" i="3"/>
  <c r="N23" i="3"/>
  <c r="N145" i="3"/>
  <c r="N88" i="3"/>
  <c r="N36" i="3"/>
  <c r="N128" i="3"/>
  <c r="N27" i="3"/>
  <c r="N136" i="3"/>
  <c r="N143" i="3"/>
  <c r="N46" i="3"/>
  <c r="N47" i="3"/>
  <c r="N38" i="3"/>
  <c r="N131" i="3"/>
  <c r="N168" i="3"/>
  <c r="N3" i="3"/>
  <c r="N34" i="3"/>
  <c r="N158" i="3"/>
  <c r="N79" i="3"/>
  <c r="N90" i="3"/>
  <c r="N24" i="3"/>
  <c r="N137" i="3"/>
  <c r="N106" i="3"/>
  <c r="N129" i="3"/>
  <c r="N19" i="3"/>
  <c r="N142" i="3"/>
  <c r="N51" i="3"/>
  <c r="N182" i="3"/>
  <c r="N93" i="3"/>
  <c r="N102" i="3"/>
  <c r="N74" i="3"/>
  <c r="N50" i="3"/>
  <c r="N40" i="3"/>
  <c r="N173" i="3"/>
  <c r="N54" i="3"/>
  <c r="N2" i="3"/>
  <c r="N72" i="3"/>
  <c r="N84" i="3"/>
  <c r="N160" i="3"/>
  <c r="N176" i="3"/>
  <c r="N138" i="3"/>
  <c r="N35" i="3"/>
  <c r="N115" i="3"/>
  <c r="N26" i="3"/>
  <c r="N146" i="3"/>
  <c r="N126" i="3"/>
  <c r="N162" i="3"/>
  <c r="N149" i="3"/>
  <c r="N12" i="3"/>
  <c r="N61" i="3"/>
  <c r="N52" i="3"/>
  <c r="N132" i="3"/>
  <c r="N96" i="3"/>
  <c r="N45" i="3"/>
  <c r="N172" i="3"/>
  <c r="N73" i="3"/>
  <c r="N53" i="3"/>
  <c r="N170" i="3"/>
  <c r="N109" i="3"/>
  <c r="N56" i="3"/>
  <c r="N98" i="3"/>
  <c r="N25" i="3"/>
  <c r="N43" i="3"/>
  <c r="N179" i="3"/>
  <c r="N9" i="3"/>
  <c r="N152" i="3"/>
  <c r="N154" i="3"/>
  <c r="N127" i="3"/>
  <c r="N15" i="3"/>
  <c r="N82" i="3"/>
  <c r="N156" i="3"/>
  <c r="N151" i="3"/>
  <c r="N119" i="3"/>
  <c r="N39" i="3"/>
  <c r="N91" i="3"/>
  <c r="N184" i="3" l="1"/>
  <c r="N185" i="3" s="1"/>
  <c r="N186" i="3" s="1"/>
  <c r="S28" i="2" s="1"/>
  <c r="P121" i="3" s="1"/>
  <c r="R184" i="3"/>
  <c r="R185" i="3" s="1"/>
  <c r="R186" i="3" s="1"/>
  <c r="S29" i="2" s="1"/>
  <c r="T42" i="3" s="1"/>
  <c r="T52" i="3" l="1"/>
  <c r="P86" i="3"/>
  <c r="P157" i="3"/>
  <c r="P22" i="3"/>
  <c r="P160" i="3"/>
  <c r="P17" i="3"/>
  <c r="P99" i="3"/>
  <c r="P94" i="3"/>
  <c r="P131" i="3"/>
  <c r="P109" i="3"/>
  <c r="P112" i="3"/>
  <c r="P165" i="3"/>
  <c r="P7" i="3"/>
  <c r="P126" i="3"/>
  <c r="P63" i="3"/>
  <c r="P60" i="3"/>
  <c r="P13" i="3"/>
  <c r="P118" i="3"/>
  <c r="P25" i="3"/>
  <c r="P182" i="3"/>
  <c r="P104" i="3"/>
  <c r="P142" i="3"/>
  <c r="P31" i="3"/>
  <c r="P147" i="3"/>
  <c r="P65" i="3"/>
  <c r="P23" i="3"/>
  <c r="P122" i="3"/>
  <c r="T150" i="3"/>
  <c r="P139" i="3"/>
  <c r="P159" i="3"/>
  <c r="P21" i="3"/>
  <c r="P173" i="3"/>
  <c r="P49" i="3"/>
  <c r="P103" i="3"/>
  <c r="P178" i="3"/>
  <c r="P150" i="3"/>
  <c r="P9" i="3"/>
  <c r="T138" i="3"/>
  <c r="T22" i="3"/>
  <c r="P87" i="3"/>
  <c r="P89" i="3"/>
  <c r="P6" i="3"/>
  <c r="P85" i="3"/>
  <c r="P158" i="3"/>
  <c r="P170" i="3"/>
  <c r="P128" i="3"/>
  <c r="P161" i="3"/>
  <c r="P32" i="3"/>
  <c r="P83" i="3"/>
  <c r="P97" i="3"/>
  <c r="P12" i="3"/>
  <c r="T19" i="3"/>
  <c r="T83" i="3"/>
  <c r="T168" i="3"/>
  <c r="T87" i="3"/>
  <c r="T23" i="3"/>
  <c r="T163" i="3"/>
  <c r="T70" i="3"/>
  <c r="T141" i="3"/>
  <c r="P35" i="3"/>
  <c r="P152" i="3"/>
  <c r="P74" i="3"/>
  <c r="T16" i="3"/>
  <c r="P144" i="3"/>
  <c r="P127" i="3"/>
  <c r="T123" i="3"/>
  <c r="P120" i="3"/>
  <c r="P75" i="3"/>
  <c r="P153" i="3"/>
  <c r="P155" i="3"/>
  <c r="P34" i="3"/>
  <c r="P134" i="3"/>
  <c r="T85" i="3"/>
  <c r="T145" i="3"/>
  <c r="T32" i="3"/>
  <c r="T139" i="3"/>
  <c r="T155" i="3"/>
  <c r="T68" i="3"/>
  <c r="T171" i="3"/>
  <c r="T132" i="3"/>
  <c r="T156" i="3"/>
  <c r="T66" i="3"/>
  <c r="T142" i="3"/>
  <c r="T134" i="3"/>
  <c r="T152" i="3"/>
  <c r="T60" i="3"/>
  <c r="T176" i="3"/>
  <c r="T102" i="3"/>
  <c r="T108" i="3"/>
  <c r="T100" i="3"/>
  <c r="T135" i="3"/>
  <c r="T119" i="3"/>
  <c r="T81" i="3"/>
  <c r="T62" i="3"/>
  <c r="T147" i="3"/>
  <c r="T130" i="3"/>
  <c r="T9" i="3"/>
  <c r="T107" i="3"/>
  <c r="T117" i="3"/>
  <c r="T161" i="3"/>
  <c r="T67" i="3"/>
  <c r="T105" i="3"/>
  <c r="T74" i="3"/>
  <c r="T158" i="3"/>
  <c r="T126" i="3"/>
  <c r="T40" i="3"/>
  <c r="T17" i="3"/>
  <c r="T120" i="3"/>
  <c r="T3" i="3"/>
  <c r="T125" i="3"/>
  <c r="T127" i="3"/>
  <c r="T92" i="3"/>
  <c r="T50" i="3"/>
  <c r="T128" i="3"/>
  <c r="P58" i="3"/>
  <c r="P28" i="3"/>
  <c r="P64" i="3"/>
  <c r="P20" i="3"/>
  <c r="P174" i="3"/>
  <c r="P143" i="3"/>
  <c r="P102" i="3"/>
  <c r="P61" i="3"/>
  <c r="P39" i="3"/>
  <c r="P46" i="3"/>
  <c r="P43" i="3"/>
  <c r="P62" i="3"/>
  <c r="P10" i="3"/>
  <c r="P176" i="3"/>
  <c r="T31" i="3"/>
  <c r="P107" i="3"/>
  <c r="P67" i="3"/>
  <c r="P113" i="3"/>
  <c r="P115" i="3"/>
  <c r="P50" i="3"/>
  <c r="P37" i="3"/>
  <c r="P141" i="3"/>
  <c r="P40" i="3"/>
  <c r="T106" i="3"/>
  <c r="T77" i="3"/>
  <c r="P151" i="3"/>
  <c r="P2" i="3"/>
  <c r="P180" i="3"/>
  <c r="P4" i="3"/>
  <c r="P98" i="3"/>
  <c r="P146" i="3"/>
  <c r="P93" i="3"/>
  <c r="P38" i="3"/>
  <c r="P77" i="3"/>
  <c r="P140" i="3"/>
  <c r="P130" i="3"/>
  <c r="P8" i="3"/>
  <c r="P18" i="3"/>
  <c r="P95" i="3"/>
  <c r="P117" i="3"/>
  <c r="P3" i="3"/>
  <c r="P76" i="3"/>
  <c r="P100" i="3"/>
  <c r="P54" i="3"/>
  <c r="P59" i="3"/>
  <c r="P92" i="3"/>
  <c r="P5" i="3"/>
  <c r="P135" i="3"/>
  <c r="P78" i="3"/>
  <c r="P105" i="3"/>
  <c r="P73" i="3"/>
  <c r="P90" i="3"/>
  <c r="P68" i="3"/>
  <c r="P123" i="3"/>
  <c r="P29" i="3"/>
  <c r="P91" i="3"/>
  <c r="P52" i="3"/>
  <c r="P51" i="3"/>
  <c r="P70" i="3"/>
  <c r="P56" i="3"/>
  <c r="P129" i="3"/>
  <c r="P48" i="3"/>
  <c r="P14" i="3"/>
  <c r="P119" i="3"/>
  <c r="P53" i="3"/>
  <c r="P138" i="3"/>
  <c r="P19" i="3"/>
  <c r="P136" i="3"/>
  <c r="P66" i="3"/>
  <c r="P114" i="3"/>
  <c r="P163" i="3"/>
  <c r="P169" i="3"/>
  <c r="P16" i="3"/>
  <c r="P41" i="3"/>
  <c r="P101" i="3"/>
  <c r="P179" i="3"/>
  <c r="P145" i="3"/>
  <c r="P148" i="3"/>
  <c r="P154" i="3"/>
  <c r="P106" i="3"/>
  <c r="P69" i="3"/>
  <c r="P181" i="3"/>
  <c r="P55" i="3"/>
  <c r="P110" i="3"/>
  <c r="P171" i="3"/>
  <c r="P125" i="3"/>
  <c r="P149" i="3"/>
  <c r="P47" i="3"/>
  <c r="P124" i="3"/>
  <c r="P80" i="3"/>
  <c r="P111" i="3"/>
  <c r="P156" i="3"/>
  <c r="P162" i="3"/>
  <c r="P79" i="3"/>
  <c r="P177" i="3"/>
  <c r="P82" i="3"/>
  <c r="P45" i="3"/>
  <c r="P84" i="3"/>
  <c r="P137" i="3"/>
  <c r="P36" i="3"/>
  <c r="P33" i="3"/>
  <c r="P133" i="3"/>
  <c r="P167" i="3"/>
  <c r="P81" i="3"/>
  <c r="P166" i="3"/>
  <c r="P71" i="3"/>
  <c r="P26" i="3"/>
  <c r="P27" i="3"/>
  <c r="P44" i="3"/>
  <c r="P15" i="3"/>
  <c r="P96" i="3"/>
  <c r="P72" i="3"/>
  <c r="P24" i="3"/>
  <c r="P88" i="3"/>
  <c r="P108" i="3"/>
  <c r="P42" i="3"/>
  <c r="P30" i="3"/>
  <c r="P11" i="3"/>
  <c r="P57" i="3"/>
  <c r="P116" i="3"/>
  <c r="P132" i="3"/>
  <c r="P175" i="3"/>
  <c r="P164" i="3"/>
  <c r="P172" i="3"/>
  <c r="P168" i="3"/>
  <c r="T140" i="3"/>
  <c r="T110" i="3"/>
  <c r="T33" i="3"/>
  <c r="T116" i="3"/>
  <c r="T113" i="3"/>
  <c r="T94" i="3"/>
  <c r="T174" i="3"/>
  <c r="T53" i="3"/>
  <c r="T30" i="3"/>
  <c r="T28" i="3"/>
  <c r="T173" i="3"/>
  <c r="T79" i="3"/>
  <c r="T146" i="3"/>
  <c r="T143" i="3"/>
  <c r="T82" i="3"/>
  <c r="T80" i="3"/>
  <c r="T169" i="3"/>
  <c r="T34" i="3"/>
  <c r="T99" i="3"/>
  <c r="T136" i="3"/>
  <c r="T2" i="3"/>
  <c r="T76" i="3"/>
  <c r="T47" i="3"/>
  <c r="T37" i="3"/>
  <c r="T172" i="3"/>
  <c r="T114" i="3"/>
  <c r="T180" i="3"/>
  <c r="T178" i="3"/>
  <c r="T25" i="3"/>
  <c r="T45" i="3"/>
  <c r="T90" i="3"/>
  <c r="T7" i="3"/>
  <c r="T175" i="3"/>
  <c r="T44" i="3"/>
  <c r="T71" i="3"/>
  <c r="T78" i="3"/>
  <c r="T73" i="3"/>
  <c r="T153" i="3"/>
  <c r="T133" i="3"/>
  <c r="T75" i="3"/>
  <c r="T96" i="3"/>
  <c r="T86" i="3"/>
  <c r="T6" i="3"/>
  <c r="T131" i="3"/>
  <c r="T170" i="3"/>
  <c r="T72" i="3"/>
  <c r="T162" i="3"/>
  <c r="T112" i="3"/>
  <c r="T59" i="3"/>
  <c r="T157" i="3"/>
  <c r="T111" i="3"/>
  <c r="T115" i="3"/>
  <c r="T18" i="3"/>
  <c r="T48" i="3"/>
  <c r="T11" i="3"/>
  <c r="T165" i="3"/>
  <c r="T164" i="3"/>
  <c r="T95" i="3"/>
  <c r="T61" i="3"/>
  <c r="T10" i="3"/>
  <c r="T57" i="3"/>
  <c r="T55" i="3"/>
  <c r="T5" i="3"/>
  <c r="T84" i="3"/>
  <c r="T103" i="3"/>
  <c r="T38" i="3"/>
  <c r="T118" i="3"/>
  <c r="T64" i="3"/>
  <c r="T36" i="3"/>
  <c r="T137" i="3"/>
  <c r="T21" i="3"/>
  <c r="T144" i="3"/>
  <c r="T109" i="3"/>
  <c r="T121" i="3"/>
  <c r="T41" i="3"/>
  <c r="T182" i="3"/>
  <c r="T58" i="3"/>
  <c r="T104" i="3"/>
  <c r="T65" i="3"/>
  <c r="T49" i="3"/>
  <c r="T4" i="3"/>
  <c r="T35" i="3"/>
  <c r="T8" i="3"/>
  <c r="T122" i="3"/>
  <c r="T29" i="3"/>
  <c r="T12" i="3"/>
  <c r="T181" i="3"/>
  <c r="T160" i="3"/>
  <c r="T54" i="3"/>
  <c r="T89" i="3"/>
  <c r="T167" i="3"/>
  <c r="T20" i="3"/>
  <c r="T159" i="3"/>
  <c r="T166" i="3"/>
  <c r="T88" i="3"/>
  <c r="T149" i="3"/>
  <c r="T91" i="3"/>
  <c r="T39" i="3"/>
  <c r="T97" i="3"/>
  <c r="T43" i="3"/>
  <c r="T51" i="3"/>
  <c r="T56" i="3"/>
  <c r="T24" i="3"/>
  <c r="T14" i="3"/>
  <c r="T63" i="3"/>
  <c r="T93" i="3"/>
  <c r="T46" i="3"/>
  <c r="T15" i="3"/>
  <c r="T151" i="3"/>
  <c r="T177" i="3"/>
  <c r="T101" i="3"/>
  <c r="T154" i="3"/>
  <c r="T26" i="3"/>
  <c r="T69" i="3"/>
  <c r="T98" i="3"/>
  <c r="T129" i="3"/>
  <c r="T13" i="3"/>
  <c r="T148" i="3"/>
  <c r="T27" i="3"/>
  <c r="T124" i="3"/>
  <c r="T179" i="3"/>
</calcChain>
</file>

<file path=xl/sharedStrings.xml><?xml version="1.0" encoding="utf-8"?>
<sst xmlns="http://schemas.openxmlformats.org/spreadsheetml/2006/main" count="75" uniqueCount="73">
  <si>
    <t>LLC topology</t>
  </si>
  <si>
    <t xml:space="preserve">Transformer ratio n = </t>
  </si>
  <si>
    <t xml:space="preserve">ϕ = </t>
  </si>
  <si>
    <t xml:space="preserve">Lm = </t>
  </si>
  <si>
    <t xml:space="preserve">Lr = </t>
  </si>
  <si>
    <t xml:space="preserve">m = </t>
  </si>
  <si>
    <t>x</t>
  </si>
  <si>
    <r>
      <t xml:space="preserve">nominal radial frequency </t>
    </r>
    <r>
      <rPr>
        <sz val="11"/>
        <color indexed="8"/>
        <rFont val="Calibri"/>
        <family val="2"/>
      </rPr>
      <t>ωr</t>
    </r>
    <r>
      <rPr>
        <sz val="11"/>
        <color theme="1"/>
        <rFont val="Calibri"/>
        <family val="2"/>
        <scheme val="minor"/>
      </rPr>
      <t xml:space="preserve"> (rad/sec)</t>
    </r>
  </si>
  <si>
    <t xml:space="preserve">Q= </t>
  </si>
  <si>
    <t xml:space="preserve">Cr = </t>
  </si>
  <si>
    <t xml:space="preserve">DC output load Rdc = </t>
  </si>
  <si>
    <t xml:space="preserve">Load side AC resistance Rac HS = </t>
  </si>
  <si>
    <t xml:space="preserve">Inverter side AC resistance Rac LS = </t>
  </si>
  <si>
    <t>Lm</t>
  </si>
  <si>
    <t>Lr</t>
  </si>
  <si>
    <t>Cr</t>
  </si>
  <si>
    <t>m</t>
  </si>
  <si>
    <t>Q</t>
  </si>
  <si>
    <t>mladen.ivankovic@infineon.com</t>
  </si>
  <si>
    <t>optimum frequency wo</t>
  </si>
  <si>
    <r>
      <t>nominal radial frequency f</t>
    </r>
    <r>
      <rPr>
        <sz val="11"/>
        <color indexed="8"/>
        <rFont val="Calibri"/>
        <family val="2"/>
      </rPr>
      <t>r</t>
    </r>
    <r>
      <rPr>
        <sz val="11"/>
        <color theme="1"/>
        <rFont val="Calibri"/>
        <family val="2"/>
        <scheme val="minor"/>
      </rPr>
      <t xml:space="preserve"> (Hz)</t>
    </r>
  </si>
  <si>
    <t>minimum operating frequency fo(Hz)</t>
  </si>
  <si>
    <t>Imaginary number i=</t>
  </si>
  <si>
    <t xml:space="preserve">Resonant DC output load Rdc = </t>
  </si>
  <si>
    <t>n=Np/Ns</t>
  </si>
  <si>
    <t xml:space="preserve">Load side AC resistance Rac  = </t>
  </si>
  <si>
    <t>minimum radial operating frequency wo(rad/sec)</t>
  </si>
  <si>
    <t>variable wo</t>
  </si>
  <si>
    <t>Mmax</t>
  </si>
  <si>
    <t>Mmin</t>
  </si>
  <si>
    <t>Nominal Output power            Vomax*Io = Po  =</t>
  </si>
  <si>
    <t>Nominal Boost gain                                       Mmax =</t>
  </si>
  <si>
    <t>Nominal Buck atenuation                           Mmin =</t>
  </si>
  <si>
    <t>M(opt) wmax</t>
  </si>
  <si>
    <t>M(var)wmax</t>
  </si>
  <si>
    <r>
      <t xml:space="preserve">Nominal operating frequency </t>
    </r>
    <r>
      <rPr>
        <sz val="11"/>
        <color theme="1"/>
        <rFont val="Calibri"/>
        <family val="2"/>
      </rPr>
      <t>fr</t>
    </r>
    <r>
      <rPr>
        <sz val="11"/>
        <color theme="1"/>
        <rFont val="Calibri"/>
        <family val="2"/>
        <scheme val="minor"/>
      </rPr>
      <t xml:space="preserve">(Hz) = </t>
    </r>
  </si>
  <si>
    <t>Operating parameters:</t>
  </si>
  <si>
    <t>fmin</t>
  </si>
  <si>
    <t>fmax</t>
  </si>
  <si>
    <t xml:space="preserve"> </t>
  </si>
  <si>
    <t>fix overload</t>
  </si>
  <si>
    <t>variable overload</t>
  </si>
  <si>
    <t>overload coeficient</t>
  </si>
  <si>
    <t xml:space="preserve">Minimum operating frequency </t>
  </si>
  <si>
    <t>x solution</t>
  </si>
  <si>
    <t>1/SQRT(x)</t>
  </si>
  <si>
    <t>Mopt</t>
  </si>
  <si>
    <t>Mnom</t>
  </si>
  <si>
    <t>M(var)fmax</t>
  </si>
  <si>
    <t>Mopt Range</t>
  </si>
  <si>
    <t>Fix Load fmax</t>
  </si>
  <si>
    <t>Fix Load</t>
  </si>
  <si>
    <t>Var Load</t>
  </si>
  <si>
    <t>Var Load 
Oper Range</t>
  </si>
  <si>
    <t>Fix Load 
Oper Range</t>
  </si>
  <si>
    <t>Mnom 
Range</t>
  </si>
  <si>
    <t>min  
frequency</t>
  </si>
  <si>
    <t>max  
frequency</t>
  </si>
  <si>
    <t>max 
gain</t>
  </si>
  <si>
    <r>
      <t xml:space="preserve">Q factor(with magnetizing inductance Lm)= </t>
    </r>
    <r>
      <rPr>
        <sz val="11"/>
        <color theme="1"/>
        <rFont val="Calibri"/>
        <family val="2"/>
      </rPr>
      <t>ωr*Lm/Rac</t>
    </r>
    <r>
      <rPr>
        <sz val="11"/>
        <color theme="1"/>
        <rFont val="Calibri"/>
        <family val="2"/>
        <scheme val="minor"/>
      </rPr>
      <t xml:space="preserve"> </t>
    </r>
  </si>
  <si>
    <t>m factor as inductance ratio only  = Lm/Lr</t>
  </si>
  <si>
    <t>Nominal load                                                        Rdc =</t>
  </si>
  <si>
    <t>Maximum Input Voltage                        Vmax(V) =</t>
  </si>
  <si>
    <t>Nominal Input Voltage                           Vnom(V)=</t>
  </si>
  <si>
    <t>Minimum Input Voltage                         Vmin(V) =</t>
  </si>
  <si>
    <t>Input voltage peak ripple  as            (%)*Vnom =</t>
  </si>
  <si>
    <t xml:space="preserve">Maximum output voltage                         Vomax = </t>
  </si>
  <si>
    <t>Minimum input voltage                             Vomin =</t>
  </si>
  <si>
    <t>Output Current                                                         Io=</t>
  </si>
  <si>
    <t>Rac*ROT</t>
  </si>
  <si>
    <t xml:space="preserve">Initial design based on  ROT = 1  and 
m-factor maximum average efficieny                        </t>
  </si>
  <si>
    <t>ROT included  &amp; Variable                   fmin = fopt*</t>
  </si>
  <si>
    <t>ROT reduced power                                          ROT=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</si>
</sst>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8"/>
      <color rgb="FF000000"/>
      <name val="Tahoma"/>
      <family val="2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12" fillId="9" borderId="37" applyNumberFormat="0" applyAlignment="0" applyProtection="0"/>
  </cellStyleXfs>
  <cellXfs count="142">
    <xf numFmtId="0" fontId="0" fillId="0" borderId="0" xfId="0"/>
    <xf numFmtId="2" fontId="0" fillId="0" borderId="0" xfId="0" applyNumberFormat="1"/>
    <xf numFmtId="11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2" borderId="3" xfId="0" applyFill="1" applyBorder="1"/>
    <xf numFmtId="0" fontId="0" fillId="0" borderId="0" xfId="0" applyBorder="1"/>
    <xf numFmtId="0" fontId="0" fillId="4" borderId="7" xfId="0" applyFill="1" applyBorder="1"/>
    <xf numFmtId="0" fontId="0" fillId="4" borderId="2" xfId="0" applyFill="1" applyBorder="1"/>
    <xf numFmtId="11" fontId="0" fillId="4" borderId="0" xfId="0" applyNumberFormat="1" applyFill="1" applyBorder="1"/>
    <xf numFmtId="0" fontId="0" fillId="4" borderId="0" xfId="0" applyFill="1" applyBorder="1"/>
    <xf numFmtId="0" fontId="0" fillId="4" borderId="5" xfId="0" applyFill="1" applyBorder="1"/>
    <xf numFmtId="1" fontId="0" fillId="4" borderId="0" xfId="0" applyNumberFormat="1" applyFill="1" applyBorder="1"/>
    <xf numFmtId="0" fontId="0" fillId="4" borderId="9" xfId="0" applyFill="1" applyBorder="1"/>
    <xf numFmtId="0" fontId="0" fillId="5" borderId="0" xfId="0" applyFill="1" applyBorder="1"/>
    <xf numFmtId="0" fontId="0" fillId="0" borderId="5" xfId="0" applyBorder="1"/>
    <xf numFmtId="0" fontId="0" fillId="0" borderId="0" xfId="0" applyAlignment="1">
      <alignment wrapText="1"/>
    </xf>
    <xf numFmtId="0" fontId="0" fillId="0" borderId="0" xfId="0" applyFill="1"/>
    <xf numFmtId="0" fontId="0" fillId="4" borderId="15" xfId="0" applyFill="1" applyBorder="1"/>
    <xf numFmtId="11" fontId="0" fillId="4" borderId="9" xfId="0" applyNumberFormat="1" applyFill="1" applyBorder="1"/>
    <xf numFmtId="0" fontId="5" fillId="4" borderId="9" xfId="0" applyFont="1" applyFill="1" applyBorder="1" applyAlignment="1">
      <alignment horizontal="center"/>
    </xf>
    <xf numFmtId="0" fontId="6" fillId="0" borderId="0" xfId="1" applyAlignment="1" applyProtection="1"/>
    <xf numFmtId="0" fontId="0" fillId="4" borderId="18" xfId="0" applyFill="1" applyBorder="1"/>
    <xf numFmtId="0" fontId="4" fillId="2" borderId="16" xfId="0" applyFont="1" applyFill="1" applyBorder="1" applyAlignment="1">
      <alignment horizontal="center"/>
    </xf>
    <xf numFmtId="11" fontId="0" fillId="4" borderId="7" xfId="0" applyNumberFormat="1" applyFill="1" applyBorder="1"/>
    <xf numFmtId="11" fontId="0" fillId="0" borderId="0" xfId="0" applyNumberFormat="1" applyBorder="1"/>
    <xf numFmtId="0" fontId="0" fillId="6" borderId="0" xfId="0" applyFill="1" applyBorder="1"/>
    <xf numFmtId="2" fontId="0" fillId="6" borderId="0" xfId="0" applyNumberFormat="1" applyFill="1" applyBorder="1"/>
    <xf numFmtId="11" fontId="0" fillId="5" borderId="0" xfId="0" applyNumberFormat="1" applyFill="1" applyBorder="1"/>
    <xf numFmtId="2" fontId="0" fillId="5" borderId="0" xfId="0" applyNumberFormat="1" applyFill="1" applyBorder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1" fontId="8" fillId="0" borderId="0" xfId="0" applyNumberFormat="1" applyFont="1"/>
    <xf numFmtId="0" fontId="9" fillId="0" borderId="0" xfId="0" applyFont="1" applyAlignment="1">
      <alignment wrapText="1"/>
    </xf>
    <xf numFmtId="11" fontId="9" fillId="0" borderId="0" xfId="0" applyNumberFormat="1" applyFont="1"/>
    <xf numFmtId="0" fontId="9" fillId="0" borderId="0" xfId="0" applyFont="1"/>
    <xf numFmtId="2" fontId="9" fillId="0" borderId="0" xfId="0" applyNumberFormat="1" applyFont="1"/>
    <xf numFmtId="165" fontId="9" fillId="0" borderId="0" xfId="0" applyNumberFormat="1" applyFont="1"/>
    <xf numFmtId="0" fontId="9" fillId="0" borderId="0" xfId="0" applyFont="1" applyAlignment="1">
      <alignment horizontal="right"/>
    </xf>
    <xf numFmtId="0" fontId="8" fillId="0" borderId="0" xfId="0" applyFont="1" applyAlignment="1">
      <alignment wrapText="1"/>
    </xf>
    <xf numFmtId="2" fontId="8" fillId="0" borderId="0" xfId="0" applyNumberFormat="1" applyFont="1"/>
    <xf numFmtId="165" fontId="8" fillId="0" borderId="0" xfId="0" applyNumberFormat="1" applyFont="1"/>
    <xf numFmtId="0" fontId="8" fillId="0" borderId="0" xfId="0" applyFont="1"/>
    <xf numFmtId="0" fontId="0" fillId="3" borderId="0" xfId="0" applyFill="1" applyBorder="1"/>
    <xf numFmtId="0" fontId="0" fillId="2" borderId="10" xfId="0" applyFill="1" applyBorder="1"/>
    <xf numFmtId="11" fontId="0" fillId="2" borderId="11" xfId="0" applyNumberFormat="1" applyFill="1" applyBorder="1"/>
    <xf numFmtId="0" fontId="0" fillId="6" borderId="2" xfId="0" applyFill="1" applyBorder="1"/>
    <xf numFmtId="165" fontId="0" fillId="0" borderId="0" xfId="0" applyNumberFormat="1"/>
    <xf numFmtId="0" fontId="0" fillId="3" borderId="32" xfId="0" applyFill="1" applyBorder="1"/>
    <xf numFmtId="165" fontId="0" fillId="3" borderId="29" xfId="0" applyNumberFormat="1" applyFill="1" applyBorder="1"/>
    <xf numFmtId="0" fontId="0" fillId="3" borderId="2" xfId="0" applyFill="1" applyBorder="1" applyAlignment="1">
      <alignment wrapText="1"/>
    </xf>
    <xf numFmtId="11" fontId="0" fillId="3" borderId="22" xfId="0" applyNumberFormat="1" applyFill="1" applyBorder="1"/>
    <xf numFmtId="0" fontId="4" fillId="3" borderId="17" xfId="0" applyFont="1" applyFill="1" applyBorder="1"/>
    <xf numFmtId="11" fontId="11" fillId="3" borderId="10" xfId="0" applyNumberFormat="1" applyFont="1" applyFill="1" applyBorder="1"/>
    <xf numFmtId="11" fontId="11" fillId="3" borderId="20" xfId="0" applyNumberFormat="1" applyFont="1" applyFill="1" applyBorder="1"/>
    <xf numFmtId="165" fontId="11" fillId="3" borderId="20" xfId="0" applyNumberFormat="1" applyFont="1" applyFill="1" applyBorder="1"/>
    <xf numFmtId="164" fontId="11" fillId="3" borderId="20" xfId="0" applyNumberFormat="1" applyFont="1" applyFill="1" applyBorder="1"/>
    <xf numFmtId="2" fontId="11" fillId="3" borderId="20" xfId="0" applyNumberFormat="1" applyFont="1" applyFill="1" applyBorder="1"/>
    <xf numFmtId="166" fontId="11" fillId="3" borderId="20" xfId="0" applyNumberFormat="1" applyFont="1" applyFill="1" applyBorder="1"/>
    <xf numFmtId="2" fontId="11" fillId="3" borderId="11" xfId="0" applyNumberFormat="1" applyFont="1" applyFill="1" applyBorder="1"/>
    <xf numFmtId="9" fontId="0" fillId="0" borderId="0" xfId="0" applyNumberFormat="1"/>
    <xf numFmtId="9" fontId="0" fillId="8" borderId="0" xfId="0" applyNumberFormat="1" applyFill="1" applyBorder="1"/>
    <xf numFmtId="165" fontId="11" fillId="7" borderId="0" xfId="0" applyNumberFormat="1" applyFont="1" applyFill="1" applyBorder="1"/>
    <xf numFmtId="0" fontId="0" fillId="3" borderId="21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0" xfId="0" applyFill="1" applyBorder="1"/>
    <xf numFmtId="0" fontId="0" fillId="5" borderId="0" xfId="0" applyFill="1"/>
    <xf numFmtId="11" fontId="0" fillId="5" borderId="0" xfId="0" applyNumberFormat="1" applyFill="1"/>
    <xf numFmtId="0" fontId="0" fillId="2" borderId="30" xfId="0" applyFill="1" applyBorder="1"/>
    <xf numFmtId="2" fontId="11" fillId="0" borderId="0" xfId="0" applyNumberFormat="1" applyFont="1" applyFill="1" applyBorder="1"/>
    <xf numFmtId="2" fontId="10" fillId="0" borderId="0" xfId="0" applyNumberFormat="1" applyFont="1" applyFill="1" applyBorder="1"/>
    <xf numFmtId="164" fontId="0" fillId="0" borderId="0" xfId="0" applyNumberFormat="1" applyFill="1" applyBorder="1"/>
    <xf numFmtId="0" fontId="0" fillId="0" borderId="45" xfId="0" applyBorder="1"/>
    <xf numFmtId="11" fontId="0" fillId="0" borderId="45" xfId="0" applyNumberFormat="1" applyBorder="1"/>
    <xf numFmtId="0" fontId="0" fillId="3" borderId="1" xfId="0" applyFill="1" applyBorder="1"/>
    <xf numFmtId="2" fontId="0" fillId="3" borderId="6" xfId="0" applyNumberFormat="1" applyFill="1" applyBorder="1"/>
    <xf numFmtId="0" fontId="0" fillId="3" borderId="30" xfId="0" applyFill="1" applyBorder="1"/>
    <xf numFmtId="165" fontId="0" fillId="3" borderId="23" xfId="0" applyNumberFormat="1" applyFill="1" applyBorder="1"/>
    <xf numFmtId="0" fontId="0" fillId="3" borderId="3" xfId="0" applyFill="1" applyBorder="1"/>
    <xf numFmtId="165" fontId="0" fillId="3" borderId="4" xfId="0" applyNumberFormat="1" applyFill="1" applyBorder="1"/>
    <xf numFmtId="2" fontId="10" fillId="5" borderId="0" xfId="0" applyNumberFormat="1" applyFont="1" applyFill="1" applyBorder="1"/>
    <xf numFmtId="2" fontId="10" fillId="2" borderId="11" xfId="0" applyNumberFormat="1" applyFont="1" applyFill="1" applyBorder="1"/>
    <xf numFmtId="2" fontId="11" fillId="2" borderId="6" xfId="0" applyNumberFormat="1" applyFont="1" applyFill="1" applyBorder="1"/>
    <xf numFmtId="2" fontId="11" fillId="2" borderId="23" xfId="0" applyNumberFormat="1" applyFont="1" applyFill="1" applyBorder="1"/>
    <xf numFmtId="2" fontId="11" fillId="2" borderId="4" xfId="0" applyNumberFormat="1" applyFont="1" applyFill="1" applyBorder="1"/>
    <xf numFmtId="9" fontId="11" fillId="2" borderId="4" xfId="0" applyNumberFormat="1" applyFont="1" applyFill="1" applyBorder="1"/>
    <xf numFmtId="0" fontId="10" fillId="2" borderId="10" xfId="0" applyFont="1" applyFill="1" applyBorder="1"/>
    <xf numFmtId="0" fontId="10" fillId="10" borderId="12" xfId="0" applyFont="1" applyFill="1" applyBorder="1"/>
    <xf numFmtId="2" fontId="10" fillId="10" borderId="47" xfId="0" applyNumberFormat="1" applyFont="1" applyFill="1" applyBorder="1" applyAlignment="1">
      <alignment horizontal="left"/>
    </xf>
    <xf numFmtId="0" fontId="10" fillId="10" borderId="8" xfId="0" applyFont="1" applyFill="1" applyBorder="1"/>
    <xf numFmtId="11" fontId="10" fillId="10" borderId="2" xfId="0" applyNumberFormat="1" applyFont="1" applyFill="1" applyBorder="1"/>
    <xf numFmtId="11" fontId="10" fillId="10" borderId="25" xfId="0" applyNumberFormat="1" applyFont="1" applyFill="1" applyBorder="1"/>
    <xf numFmtId="165" fontId="10" fillId="10" borderId="25" xfId="0" applyNumberFormat="1" applyFont="1" applyFill="1" applyBorder="1"/>
    <xf numFmtId="164" fontId="10" fillId="10" borderId="22" xfId="0" applyNumberFormat="1" applyFont="1" applyFill="1" applyBorder="1"/>
    <xf numFmtId="2" fontId="10" fillId="10" borderId="24" xfId="2" applyNumberFormat="1" applyFont="1" applyFill="1" applyBorder="1"/>
    <xf numFmtId="166" fontId="10" fillId="10" borderId="42" xfId="0" applyNumberFormat="1" applyFont="1" applyFill="1" applyBorder="1"/>
    <xf numFmtId="2" fontId="10" fillId="10" borderId="26" xfId="0" applyNumberFormat="1" applyFont="1" applyFill="1" applyBorder="1"/>
    <xf numFmtId="0" fontId="0" fillId="10" borderId="15" xfId="0" applyFill="1" applyBorder="1"/>
    <xf numFmtId="11" fontId="0" fillId="10" borderId="22" xfId="0" applyNumberFormat="1" applyFill="1" applyBorder="1"/>
    <xf numFmtId="0" fontId="3" fillId="10" borderId="5" xfId="0" applyFont="1" applyFill="1" applyBorder="1"/>
    <xf numFmtId="11" fontId="0" fillId="10" borderId="2" xfId="0" applyNumberFormat="1" applyFill="1" applyBorder="1"/>
    <xf numFmtId="11" fontId="0" fillId="10" borderId="25" xfId="0" applyNumberFormat="1" applyFill="1" applyBorder="1"/>
    <xf numFmtId="2" fontId="0" fillId="10" borderId="25" xfId="0" applyNumberFormat="1" applyFill="1" applyBorder="1"/>
    <xf numFmtId="166" fontId="0" fillId="10" borderId="42" xfId="0" applyNumberFormat="1" applyFill="1" applyBorder="1"/>
    <xf numFmtId="164" fontId="0" fillId="10" borderId="26" xfId="0" applyNumberFormat="1" applyFill="1" applyBorder="1"/>
    <xf numFmtId="165" fontId="0" fillId="10" borderId="46" xfId="0" applyNumberFormat="1" applyFill="1" applyBorder="1"/>
    <xf numFmtId="0" fontId="3" fillId="10" borderId="13" xfId="0" applyFont="1" applyFill="1" applyBorder="1"/>
    <xf numFmtId="11" fontId="0" fillId="10" borderId="15" xfId="0" applyNumberFormat="1" applyFill="1" applyBorder="1"/>
    <xf numFmtId="11" fontId="0" fillId="10" borderId="27" xfId="0" applyNumberFormat="1" applyFill="1" applyBorder="1"/>
    <xf numFmtId="11" fontId="0" fillId="10" borderId="46" xfId="0" applyNumberFormat="1" applyFill="1" applyBorder="1"/>
    <xf numFmtId="2" fontId="0" fillId="10" borderId="27" xfId="0" applyNumberFormat="1" applyFill="1" applyBorder="1"/>
    <xf numFmtId="166" fontId="0" fillId="10" borderId="43" xfId="0" applyNumberFormat="1" applyFill="1" applyBorder="1"/>
    <xf numFmtId="164" fontId="0" fillId="10" borderId="28" xfId="0" applyNumberFormat="1" applyFill="1" applyBorder="1"/>
    <xf numFmtId="0" fontId="0" fillId="10" borderId="12" xfId="0" applyFill="1" applyBorder="1"/>
    <xf numFmtId="0" fontId="0" fillId="10" borderId="38" xfId="0" applyFill="1" applyBorder="1"/>
    <xf numFmtId="0" fontId="0" fillId="10" borderId="7" xfId="0" applyFill="1" applyBorder="1"/>
    <xf numFmtId="0" fontId="3" fillId="10" borderId="38" xfId="0" applyFont="1" applyFill="1" applyBorder="1" applyAlignment="1">
      <alignment horizontal="center"/>
    </xf>
    <xf numFmtId="0" fontId="0" fillId="10" borderId="41" xfId="0" applyFill="1" applyBorder="1" applyAlignment="1">
      <alignment horizontal="center" wrapText="1"/>
    </xf>
    <xf numFmtId="0" fontId="0" fillId="10" borderId="36" xfId="0" applyFill="1" applyBorder="1" applyAlignment="1">
      <alignment horizontal="center" wrapText="1"/>
    </xf>
    <xf numFmtId="0" fontId="0" fillId="10" borderId="6" xfId="0" applyFill="1" applyBorder="1" applyAlignment="1">
      <alignment horizontal="center" wrapText="1"/>
    </xf>
    <xf numFmtId="0" fontId="0" fillId="10" borderId="33" xfId="0" applyFill="1" applyBorder="1"/>
    <xf numFmtId="0" fontId="0" fillId="10" borderId="35" xfId="0" applyFill="1" applyBorder="1"/>
    <xf numFmtId="9" fontId="0" fillId="10" borderId="40" xfId="0" applyNumberFormat="1" applyFill="1" applyBorder="1"/>
    <xf numFmtId="165" fontId="3" fillId="10" borderId="44" xfId="0" applyNumberFormat="1" applyFont="1" applyFill="1" applyBorder="1"/>
    <xf numFmtId="165" fontId="0" fillId="10" borderId="34" xfId="0" applyNumberFormat="1" applyFill="1" applyBorder="1"/>
    <xf numFmtId="165" fontId="0" fillId="10" borderId="14" xfId="0" applyNumberFormat="1" applyFill="1" applyBorder="1"/>
    <xf numFmtId="0" fontId="0" fillId="10" borderId="23" xfId="0" applyFill="1" applyBorder="1"/>
    <xf numFmtId="0" fontId="0" fillId="10" borderId="2" xfId="0" applyFill="1" applyBorder="1"/>
    <xf numFmtId="9" fontId="0" fillId="10" borderId="0" xfId="0" applyNumberFormat="1" applyFill="1" applyBorder="1"/>
    <xf numFmtId="165" fontId="0" fillId="10" borderId="42" xfId="0" applyNumberFormat="1" applyFill="1" applyBorder="1"/>
    <xf numFmtId="165" fontId="0" fillId="10" borderId="0" xfId="0" applyNumberFormat="1" applyFill="1" applyBorder="1"/>
    <xf numFmtId="0" fontId="0" fillId="10" borderId="31" xfId="0" applyFill="1" applyBorder="1"/>
    <xf numFmtId="0" fontId="0" fillId="10" borderId="39" xfId="0" applyFill="1" applyBorder="1"/>
    <xf numFmtId="0" fontId="0" fillId="10" borderId="9" xfId="0" applyFill="1" applyBorder="1"/>
    <xf numFmtId="0" fontId="3" fillId="10" borderId="18" xfId="0" applyFont="1" applyFill="1" applyBorder="1"/>
    <xf numFmtId="0" fontId="0" fillId="10" borderId="43" xfId="0" applyFill="1" applyBorder="1"/>
    <xf numFmtId="0" fontId="0" fillId="10" borderId="28" xfId="0" applyFill="1" applyBorder="1"/>
    <xf numFmtId="0" fontId="0" fillId="10" borderId="17" xfId="0" applyFill="1" applyBorder="1"/>
    <xf numFmtId="0" fontId="0" fillId="10" borderId="29" xfId="0" applyFill="1" applyBorder="1"/>
    <xf numFmtId="0" fontId="0" fillId="10" borderId="32" xfId="0" applyFill="1" applyBorder="1"/>
  </cellXfs>
  <cellStyles count="3">
    <cellStyle name="Calculation" xfId="2" builtinId="22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00FF00"/>
      <color rgb="FFFF0000"/>
      <color rgb="FFF78DAE"/>
      <color rgb="FF1D6D3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LLC Converter gain function</a:t>
            </a:r>
            <a:r>
              <a:rPr lang="en-US" sz="1400" baseline="0"/>
              <a:t> </a:t>
            </a:r>
            <a:endParaRPr lang="en-US" sz="14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60841218377114E-2"/>
          <c:y val="0.11800998723233801"/>
          <c:w val="0.627472507113081"/>
          <c:h val="0.72675950225549502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'Frequency Data'!$B$1</c:f>
              <c:strCache>
                <c:ptCount val="1"/>
                <c:pt idx="0">
                  <c:v>Mmax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Data'!$B$2:$B$182</c:f>
              <c:numCache>
                <c:formatCode>0.000</c:formatCode>
                <c:ptCount val="181"/>
                <c:pt idx="0">
                  <c:v>1.171664943123061</c:v>
                </c:pt>
                <c:pt idx="1">
                  <c:v>1.171664943123061</c:v>
                </c:pt>
                <c:pt idx="2">
                  <c:v>1.171664943123061</c:v>
                </c:pt>
                <c:pt idx="3">
                  <c:v>1.171664943123061</c:v>
                </c:pt>
                <c:pt idx="4">
                  <c:v>1.171664943123061</c:v>
                </c:pt>
                <c:pt idx="5">
                  <c:v>1.171664943123061</c:v>
                </c:pt>
                <c:pt idx="6">
                  <c:v>1.171664943123061</c:v>
                </c:pt>
                <c:pt idx="7">
                  <c:v>1.171664943123061</c:v>
                </c:pt>
                <c:pt idx="8">
                  <c:v>1.171664943123061</c:v>
                </c:pt>
                <c:pt idx="9">
                  <c:v>1.171664943123061</c:v>
                </c:pt>
                <c:pt idx="10">
                  <c:v>1.171664943123061</c:v>
                </c:pt>
                <c:pt idx="11">
                  <c:v>1.171664943123061</c:v>
                </c:pt>
                <c:pt idx="12">
                  <c:v>1.171664943123061</c:v>
                </c:pt>
                <c:pt idx="13">
                  <c:v>1.171664943123061</c:v>
                </c:pt>
                <c:pt idx="14">
                  <c:v>1.171664943123061</c:v>
                </c:pt>
                <c:pt idx="15">
                  <c:v>1.171664943123061</c:v>
                </c:pt>
                <c:pt idx="16">
                  <c:v>1.171664943123061</c:v>
                </c:pt>
                <c:pt idx="17">
                  <c:v>1.171664943123061</c:v>
                </c:pt>
                <c:pt idx="18">
                  <c:v>1.171664943123061</c:v>
                </c:pt>
                <c:pt idx="19">
                  <c:v>1.171664943123061</c:v>
                </c:pt>
                <c:pt idx="20">
                  <c:v>1.171664943123061</c:v>
                </c:pt>
                <c:pt idx="21">
                  <c:v>1.171664943123061</c:v>
                </c:pt>
                <c:pt idx="22">
                  <c:v>1.171664943123061</c:v>
                </c:pt>
                <c:pt idx="23">
                  <c:v>1.171664943123061</c:v>
                </c:pt>
                <c:pt idx="24">
                  <c:v>1.171664943123061</c:v>
                </c:pt>
                <c:pt idx="25">
                  <c:v>1.171664943123061</c:v>
                </c:pt>
                <c:pt idx="26">
                  <c:v>1.171664943123061</c:v>
                </c:pt>
                <c:pt idx="27">
                  <c:v>1.171664943123061</c:v>
                </c:pt>
                <c:pt idx="28">
                  <c:v>1.171664943123061</c:v>
                </c:pt>
                <c:pt idx="29">
                  <c:v>1.171664943123061</c:v>
                </c:pt>
                <c:pt idx="30">
                  <c:v>1.171664943123061</c:v>
                </c:pt>
                <c:pt idx="31">
                  <c:v>1.171664943123061</c:v>
                </c:pt>
                <c:pt idx="32">
                  <c:v>1.171664943123061</c:v>
                </c:pt>
                <c:pt idx="33">
                  <c:v>1.171664943123061</c:v>
                </c:pt>
                <c:pt idx="34">
                  <c:v>1.171664943123061</c:v>
                </c:pt>
                <c:pt idx="35">
                  <c:v>1.171664943123061</c:v>
                </c:pt>
                <c:pt idx="36">
                  <c:v>1.171664943123061</c:v>
                </c:pt>
                <c:pt idx="37">
                  <c:v>1.171664943123061</c:v>
                </c:pt>
                <c:pt idx="38">
                  <c:v>1.171664943123061</c:v>
                </c:pt>
                <c:pt idx="39">
                  <c:v>1.171664943123061</c:v>
                </c:pt>
                <c:pt idx="40">
                  <c:v>1.171664943123061</c:v>
                </c:pt>
                <c:pt idx="41">
                  <c:v>1.171664943123061</c:v>
                </c:pt>
                <c:pt idx="42">
                  <c:v>1.171664943123061</c:v>
                </c:pt>
                <c:pt idx="43">
                  <c:v>1.171664943123061</c:v>
                </c:pt>
                <c:pt idx="44">
                  <c:v>1.171664943123061</c:v>
                </c:pt>
                <c:pt idx="45">
                  <c:v>1.171664943123061</c:v>
                </c:pt>
                <c:pt idx="46">
                  <c:v>1.171664943123061</c:v>
                </c:pt>
                <c:pt idx="47">
                  <c:v>1.171664943123061</c:v>
                </c:pt>
                <c:pt idx="48">
                  <c:v>1.171664943123061</c:v>
                </c:pt>
                <c:pt idx="49">
                  <c:v>1.171664943123061</c:v>
                </c:pt>
                <c:pt idx="50">
                  <c:v>1.171664943123061</c:v>
                </c:pt>
                <c:pt idx="51">
                  <c:v>1.171664943123061</c:v>
                </c:pt>
                <c:pt idx="52">
                  <c:v>1.171664943123061</c:v>
                </c:pt>
                <c:pt idx="53">
                  <c:v>1.171664943123061</c:v>
                </c:pt>
                <c:pt idx="54">
                  <c:v>1.171664943123061</c:v>
                </c:pt>
                <c:pt idx="55">
                  <c:v>1.171664943123061</c:v>
                </c:pt>
                <c:pt idx="56">
                  <c:v>1.171664943123061</c:v>
                </c:pt>
                <c:pt idx="57">
                  <c:v>1.171664943123061</c:v>
                </c:pt>
                <c:pt idx="58">
                  <c:v>1.171664943123061</c:v>
                </c:pt>
                <c:pt idx="59">
                  <c:v>1.171664943123061</c:v>
                </c:pt>
                <c:pt idx="60">
                  <c:v>1.171664943123061</c:v>
                </c:pt>
                <c:pt idx="61">
                  <c:v>1.171664943123061</c:v>
                </c:pt>
                <c:pt idx="62">
                  <c:v>1.171664943123061</c:v>
                </c:pt>
                <c:pt idx="63">
                  <c:v>1.171664943123061</c:v>
                </c:pt>
                <c:pt idx="64">
                  <c:v>1.171664943123061</c:v>
                </c:pt>
                <c:pt idx="65">
                  <c:v>1.171664943123061</c:v>
                </c:pt>
                <c:pt idx="66">
                  <c:v>1.171664943123061</c:v>
                </c:pt>
                <c:pt idx="67">
                  <c:v>1.171664943123061</c:v>
                </c:pt>
                <c:pt idx="68">
                  <c:v>1.171664943123061</c:v>
                </c:pt>
                <c:pt idx="69">
                  <c:v>1.171664943123061</c:v>
                </c:pt>
                <c:pt idx="70">
                  <c:v>1.171664943123061</c:v>
                </c:pt>
                <c:pt idx="71">
                  <c:v>1.171664943123061</c:v>
                </c:pt>
                <c:pt idx="72">
                  <c:v>1.171664943123061</c:v>
                </c:pt>
                <c:pt idx="73">
                  <c:v>1.171664943123061</c:v>
                </c:pt>
                <c:pt idx="74">
                  <c:v>1.171664943123061</c:v>
                </c:pt>
                <c:pt idx="75">
                  <c:v>1.171664943123061</c:v>
                </c:pt>
                <c:pt idx="76">
                  <c:v>1.171664943123061</c:v>
                </c:pt>
                <c:pt idx="77">
                  <c:v>1.171664943123061</c:v>
                </c:pt>
                <c:pt idx="78">
                  <c:v>1.171664943123061</c:v>
                </c:pt>
                <c:pt idx="79">
                  <c:v>1.171664943123061</c:v>
                </c:pt>
                <c:pt idx="80">
                  <c:v>1.171664943123061</c:v>
                </c:pt>
                <c:pt idx="81">
                  <c:v>1.171664943123061</c:v>
                </c:pt>
                <c:pt idx="82">
                  <c:v>1.171664943123061</c:v>
                </c:pt>
                <c:pt idx="83">
                  <c:v>1.171664943123061</c:v>
                </c:pt>
                <c:pt idx="84">
                  <c:v>1.171664943123061</c:v>
                </c:pt>
                <c:pt idx="85">
                  <c:v>1.171664943123061</c:v>
                </c:pt>
                <c:pt idx="86">
                  <c:v>1.171664943123061</c:v>
                </c:pt>
                <c:pt idx="87">
                  <c:v>1.171664943123061</c:v>
                </c:pt>
                <c:pt idx="88">
                  <c:v>1.171664943123061</c:v>
                </c:pt>
                <c:pt idx="89">
                  <c:v>1.171664943123061</c:v>
                </c:pt>
                <c:pt idx="90">
                  <c:v>1.171664943123061</c:v>
                </c:pt>
                <c:pt idx="91">
                  <c:v>1.171664943123061</c:v>
                </c:pt>
                <c:pt idx="92">
                  <c:v>1.171664943123061</c:v>
                </c:pt>
                <c:pt idx="93">
                  <c:v>1.171664943123061</c:v>
                </c:pt>
                <c:pt idx="94">
                  <c:v>1.171664943123061</c:v>
                </c:pt>
                <c:pt idx="95">
                  <c:v>1.171664943123061</c:v>
                </c:pt>
                <c:pt idx="96">
                  <c:v>1.171664943123061</c:v>
                </c:pt>
                <c:pt idx="97">
                  <c:v>1.171664943123061</c:v>
                </c:pt>
                <c:pt idx="98">
                  <c:v>1.171664943123061</c:v>
                </c:pt>
                <c:pt idx="99">
                  <c:v>1.171664943123061</c:v>
                </c:pt>
                <c:pt idx="100">
                  <c:v>1.171664943123061</c:v>
                </c:pt>
                <c:pt idx="101">
                  <c:v>1.171664943123061</c:v>
                </c:pt>
                <c:pt idx="102">
                  <c:v>1.171664943123061</c:v>
                </c:pt>
                <c:pt idx="103">
                  <c:v>1.171664943123061</c:v>
                </c:pt>
                <c:pt idx="104">
                  <c:v>1.171664943123061</c:v>
                </c:pt>
                <c:pt idx="105">
                  <c:v>1.171664943123061</c:v>
                </c:pt>
                <c:pt idx="106">
                  <c:v>1.171664943123061</c:v>
                </c:pt>
                <c:pt idx="107">
                  <c:v>1.171664943123061</c:v>
                </c:pt>
                <c:pt idx="108">
                  <c:v>1.171664943123061</c:v>
                </c:pt>
                <c:pt idx="109">
                  <c:v>1.171664943123061</c:v>
                </c:pt>
                <c:pt idx="110">
                  <c:v>1.171664943123061</c:v>
                </c:pt>
                <c:pt idx="111">
                  <c:v>1.171664943123061</c:v>
                </c:pt>
                <c:pt idx="112">
                  <c:v>1.171664943123061</c:v>
                </c:pt>
                <c:pt idx="113">
                  <c:v>1.171664943123061</c:v>
                </c:pt>
                <c:pt idx="114">
                  <c:v>1.171664943123061</c:v>
                </c:pt>
                <c:pt idx="115">
                  <c:v>1.171664943123061</c:v>
                </c:pt>
                <c:pt idx="116">
                  <c:v>1.171664943123061</c:v>
                </c:pt>
                <c:pt idx="117">
                  <c:v>1.171664943123061</c:v>
                </c:pt>
                <c:pt idx="118">
                  <c:v>1.171664943123061</c:v>
                </c:pt>
                <c:pt idx="119">
                  <c:v>1.171664943123061</c:v>
                </c:pt>
                <c:pt idx="120">
                  <c:v>1.171664943123061</c:v>
                </c:pt>
                <c:pt idx="121">
                  <c:v>1.171664943123061</c:v>
                </c:pt>
                <c:pt idx="122">
                  <c:v>1.171664943123061</c:v>
                </c:pt>
                <c:pt idx="123">
                  <c:v>1.171664943123061</c:v>
                </c:pt>
                <c:pt idx="124">
                  <c:v>1.171664943123061</c:v>
                </c:pt>
                <c:pt idx="125">
                  <c:v>1.171664943123061</c:v>
                </c:pt>
                <c:pt idx="126">
                  <c:v>1.171664943123061</c:v>
                </c:pt>
                <c:pt idx="127">
                  <c:v>1.171664943123061</c:v>
                </c:pt>
                <c:pt idx="128">
                  <c:v>1.171664943123061</c:v>
                </c:pt>
                <c:pt idx="129">
                  <c:v>1.171664943123061</c:v>
                </c:pt>
                <c:pt idx="130">
                  <c:v>1.171664943123061</c:v>
                </c:pt>
                <c:pt idx="131">
                  <c:v>1.171664943123061</c:v>
                </c:pt>
                <c:pt idx="132">
                  <c:v>1.171664943123061</c:v>
                </c:pt>
                <c:pt idx="133">
                  <c:v>1.171664943123061</c:v>
                </c:pt>
                <c:pt idx="134">
                  <c:v>1.171664943123061</c:v>
                </c:pt>
                <c:pt idx="135">
                  <c:v>1.171664943123061</c:v>
                </c:pt>
                <c:pt idx="136">
                  <c:v>1.171664943123061</c:v>
                </c:pt>
                <c:pt idx="137">
                  <c:v>1.171664943123061</c:v>
                </c:pt>
                <c:pt idx="138">
                  <c:v>1.171664943123061</c:v>
                </c:pt>
                <c:pt idx="139">
                  <c:v>1.171664943123061</c:v>
                </c:pt>
                <c:pt idx="140">
                  <c:v>1.171664943123061</c:v>
                </c:pt>
                <c:pt idx="141">
                  <c:v>1.171664943123061</c:v>
                </c:pt>
                <c:pt idx="142">
                  <c:v>1.171664943123061</c:v>
                </c:pt>
                <c:pt idx="143">
                  <c:v>1.171664943123061</c:v>
                </c:pt>
                <c:pt idx="144">
                  <c:v>1.171664943123061</c:v>
                </c:pt>
                <c:pt idx="145">
                  <c:v>1.171664943123061</c:v>
                </c:pt>
                <c:pt idx="146">
                  <c:v>1.171664943123061</c:v>
                </c:pt>
                <c:pt idx="147">
                  <c:v>1.171664943123061</c:v>
                </c:pt>
                <c:pt idx="148">
                  <c:v>1.171664943123061</c:v>
                </c:pt>
                <c:pt idx="149">
                  <c:v>1.171664943123061</c:v>
                </c:pt>
                <c:pt idx="150">
                  <c:v>1.171664943123061</c:v>
                </c:pt>
                <c:pt idx="151">
                  <c:v>1.171664943123061</c:v>
                </c:pt>
                <c:pt idx="152">
                  <c:v>1.171664943123061</c:v>
                </c:pt>
                <c:pt idx="153">
                  <c:v>1.171664943123061</c:v>
                </c:pt>
                <c:pt idx="154">
                  <c:v>1.171664943123061</c:v>
                </c:pt>
                <c:pt idx="155">
                  <c:v>1.171664943123061</c:v>
                </c:pt>
                <c:pt idx="156">
                  <c:v>1.171664943123061</c:v>
                </c:pt>
                <c:pt idx="157">
                  <c:v>1.171664943123061</c:v>
                </c:pt>
                <c:pt idx="158">
                  <c:v>1.171664943123061</c:v>
                </c:pt>
                <c:pt idx="159">
                  <c:v>1.171664943123061</c:v>
                </c:pt>
                <c:pt idx="160">
                  <c:v>1.171664943123061</c:v>
                </c:pt>
                <c:pt idx="161">
                  <c:v>1.171664943123061</c:v>
                </c:pt>
                <c:pt idx="162">
                  <c:v>1.171664943123061</c:v>
                </c:pt>
                <c:pt idx="163">
                  <c:v>1.171664943123061</c:v>
                </c:pt>
                <c:pt idx="164">
                  <c:v>1.171664943123061</c:v>
                </c:pt>
                <c:pt idx="165">
                  <c:v>1.171664943123061</c:v>
                </c:pt>
                <c:pt idx="166">
                  <c:v>1.171664943123061</c:v>
                </c:pt>
                <c:pt idx="167">
                  <c:v>1.171664943123061</c:v>
                </c:pt>
                <c:pt idx="168">
                  <c:v>1.171664943123061</c:v>
                </c:pt>
                <c:pt idx="169">
                  <c:v>1.171664943123061</c:v>
                </c:pt>
                <c:pt idx="170">
                  <c:v>1.171664943123061</c:v>
                </c:pt>
                <c:pt idx="171">
                  <c:v>1.171664943123061</c:v>
                </c:pt>
                <c:pt idx="172">
                  <c:v>1.171664943123061</c:v>
                </c:pt>
                <c:pt idx="173">
                  <c:v>1.171664943123061</c:v>
                </c:pt>
                <c:pt idx="174">
                  <c:v>1.171664943123061</c:v>
                </c:pt>
                <c:pt idx="175">
                  <c:v>1.171664943123061</c:v>
                </c:pt>
                <c:pt idx="176">
                  <c:v>1.171664943123061</c:v>
                </c:pt>
                <c:pt idx="177">
                  <c:v>1.171664943123061</c:v>
                </c:pt>
                <c:pt idx="178">
                  <c:v>1.171664943123061</c:v>
                </c:pt>
                <c:pt idx="179">
                  <c:v>1.171664943123061</c:v>
                </c:pt>
                <c:pt idx="180">
                  <c:v>1.171664943123061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'Frequency Data'!$C$1</c:f>
              <c:strCache>
                <c:ptCount val="1"/>
                <c:pt idx="0">
                  <c:v>Mopt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Data'!$C$2:$C$182</c:f>
              <c:numCache>
                <c:formatCode>General</c:formatCode>
                <c:ptCount val="181"/>
                <c:pt idx="0">
                  <c:v>0.12842104164633097</c:v>
                </c:pt>
                <c:pt idx="1">
                  <c:v>0.1575594962378436</c:v>
                </c:pt>
                <c:pt idx="2">
                  <c:v>0.19029392734612932</c:v>
                </c:pt>
                <c:pt idx="3">
                  <c:v>0.22680455993710455</c:v>
                </c:pt>
                <c:pt idx="4">
                  <c:v>0.26725255266749226</c:v>
                </c:pt>
                <c:pt idx="5">
                  <c:v>0.31176078339092811</c:v>
                </c:pt>
                <c:pt idx="6">
                  <c:v>0.36038859940255608</c:v>
                </c:pt>
                <c:pt idx="7">
                  <c:v>0.41310023061169177</c:v>
                </c:pt>
                <c:pt idx="8">
                  <c:v>0.46972767704952084</c:v>
                </c:pt>
                <c:pt idx="9">
                  <c:v>0.52993074015493924</c:v>
                </c:pt>
                <c:pt idx="10">
                  <c:v>0.59315947854838913</c:v>
                </c:pt>
                <c:pt idx="11">
                  <c:v>0.65862735693591212</c:v>
                </c:pt>
                <c:pt idx="12">
                  <c:v>0.72530573640094653</c:v>
                </c:pt>
                <c:pt idx="13">
                  <c:v>0.7919505156883524</c:v>
                </c:pt>
                <c:pt idx="14">
                  <c:v>0.85716793558897042</c:v>
                </c:pt>
                <c:pt idx="15">
                  <c:v>0.91951807362970861</c:v>
                </c:pt>
                <c:pt idx="16">
                  <c:v>0.97764300140493843</c:v>
                </c:pt>
                <c:pt idx="17">
                  <c:v>1.0303962645496245</c:v>
                </c:pt>
                <c:pt idx="18">
                  <c:v>1.0769465614792266</c:v>
                </c:pt>
                <c:pt idx="19">
                  <c:v>1.1168341878483972</c:v>
                </c:pt>
                <c:pt idx="20">
                  <c:v>1.1499721221812704</c:v>
                </c:pt>
                <c:pt idx="21">
                  <c:v>1.1765986675176723</c:v>
                </c:pt>
                <c:pt idx="22">
                  <c:v>1.1971990863624389</c:v>
                </c:pt>
                <c:pt idx="23">
                  <c:v>1.2124166331572377</c:v>
                </c:pt>
                <c:pt idx="24">
                  <c:v>1.2229698311310788</c:v>
                </c:pt>
                <c:pt idx="25">
                  <c:v>1.2295861004226853</c:v>
                </c:pt>
                <c:pt idx="26">
                  <c:v>1.2329551904028286</c:v>
                </c:pt>
                <c:pt idx="27">
                  <c:v>1.2337011470177977</c:v>
                </c:pt>
                <c:pt idx="28">
                  <c:v>1.2323691232897609</c:v>
                </c:pt>
                <c:pt idx="29">
                  <c:v>1.229422716714401</c:v>
                </c:pt>
                <c:pt idx="30">
                  <c:v>1.2252479486088812</c:v>
                </c:pt>
                <c:pt idx="31">
                  <c:v>1.2201608664016843</c:v>
                </c:pt>
                <c:pt idx="32">
                  <c:v>1.2144166611183129</c:v>
                </c:pt>
                <c:pt idx="33">
                  <c:v>1.2082189625008273</c:v>
                </c:pt>
                <c:pt idx="34">
                  <c:v>1.2017285485089535</c:v>
                </c:pt>
                <c:pt idx="35">
                  <c:v>1.1950710971968088</c:v>
                </c:pt>
                <c:pt idx="36">
                  <c:v>1.1883438553943075</c:v>
                </c:pt>
                <c:pt idx="37">
                  <c:v>1.1816212414801368</c:v>
                </c:pt>
                <c:pt idx="38">
                  <c:v>1.1749594735903939</c:v>
                </c:pt>
                <c:pt idx="39">
                  <c:v>1.1684003458071091</c:v>
                </c:pt>
                <c:pt idx="40">
                  <c:v>1.1619742810996745</c:v>
                </c:pt>
                <c:pt idx="41">
                  <c:v>1.1557027826651531</c:v>
                </c:pt>
                <c:pt idx="42">
                  <c:v>1.1496003919869899</c:v>
                </c:pt>
                <c:pt idx="43">
                  <c:v>1.1436762465802073</c:v>
                </c:pt>
                <c:pt idx="44">
                  <c:v>1.1379353152885645</c:v>
                </c:pt>
                <c:pt idx="45">
                  <c:v>1.1323793752592961</c:v>
                </c:pt>
                <c:pt idx="46">
                  <c:v>1.1270077827813925</c:v>
                </c:pt>
                <c:pt idx="47">
                  <c:v>1.1218180800984943</c:v>
                </c:pt>
                <c:pt idx="48">
                  <c:v>1.1168064719728694</c:v>
                </c:pt>
                <c:pt idx="49">
                  <c:v>1.1119681989761925</c:v>
                </c:pt>
                <c:pt idx="50">
                  <c:v>1.1072978289872912</c:v>
                </c:pt>
                <c:pt idx="51">
                  <c:v>1.1027894839665591</c:v>
                </c:pt>
                <c:pt idx="52">
                  <c:v>1.0984370155542196</c:v>
                </c:pt>
                <c:pt idx="53">
                  <c:v>1.0942341402356641</c:v>
                </c:pt>
                <c:pt idx="54">
                  <c:v>1.0901745425900946</c:v>
                </c:pt>
                <c:pt idx="55">
                  <c:v>1.0862519533723975</c:v>
                </c:pt>
                <c:pt idx="56">
                  <c:v>1.0824602077783594</c:v>
                </c:pt>
                <c:pt idx="57">
                  <c:v>1.0787932881342492</c:v>
                </c:pt>
                <c:pt idx="58">
                  <c:v>1.0752453543730509</c:v>
                </c:pt>
                <c:pt idx="59">
                  <c:v>1.0718107649631257</c:v>
                </c:pt>
                <c:pt idx="60">
                  <c:v>1.0684840904028017</c:v>
                </c:pt>
                <c:pt idx="61">
                  <c:v>1.0652601209561643</c:v>
                </c:pt>
                <c:pt idx="62">
                  <c:v>1.0621338699573915</c:v>
                </c:pt>
                <c:pt idx="63">
                  <c:v>1.0591005737345631</c:v>
                </c:pt>
                <c:pt idx="64">
                  <c:v>1.0561556889840957</c:v>
                </c:pt>
                <c:pt idx="65">
                  <c:v>1.0532948882521647</c:v>
                </c:pt>
                <c:pt idx="66">
                  <c:v>1.0505140540403495</c:v>
                </c:pt>
                <c:pt idx="67">
                  <c:v>1.0478092719419971</c:v>
                </c:pt>
                <c:pt idx="68">
                  <c:v>1.0451768231276213</c:v>
                </c:pt>
                <c:pt idx="69">
                  <c:v>1.0426131764274569</c:v>
                </c:pt>
                <c:pt idx="70">
                  <c:v>1.0401149802034195</c:v>
                </c:pt>
                <c:pt idx="71">
                  <c:v>1.0376790541582799</c:v>
                </c:pt>
                <c:pt idx="72">
                  <c:v>1.0353023811945514</c:v>
                </c:pt>
                <c:pt idx="73">
                  <c:v>1.0329820994075776</c:v>
                </c:pt>
                <c:pt idx="74">
                  <c:v>1.0307154942751076</c:v>
                </c:pt>
                <c:pt idx="75">
                  <c:v>1.0284999910881332</c:v>
                </c:pt>
                <c:pt idx="76">
                  <c:v>1.0263331476539523</c:v>
                </c:pt>
                <c:pt idx="77">
                  <c:v>1.0242126472916098</c:v>
                </c:pt>
                <c:pt idx="78">
                  <c:v>1.022136292131439</c:v>
                </c:pt>
                <c:pt idx="79">
                  <c:v>1.020101996723882</c:v>
                </c:pt>
                <c:pt idx="80">
                  <c:v>1.018107781957776</c:v>
                </c:pt>
                <c:pt idx="81">
                  <c:v>1.0161517692844748</c:v>
                </c:pt>
                <c:pt idx="82">
                  <c:v>1.0142321752413541</c:v>
                </c:pt>
                <c:pt idx="83">
                  <c:v>1.0123473062661703</c:v>
                </c:pt>
                <c:pt idx="84">
                  <c:v>1.0104955537922791</c:v>
                </c:pt>
                <c:pt idx="85">
                  <c:v>1.0086753896137333</c:v>
                </c:pt>
                <c:pt idx="86">
                  <c:v>1.0068853615086617</c:v>
                </c:pt>
                <c:pt idx="87">
                  <c:v>1.005124089109009</c:v>
                </c:pt>
                <c:pt idx="88">
                  <c:v>1.0033902600046176</c:v>
                </c:pt>
                <c:pt idx="89">
                  <c:v>1.0016826260697054</c:v>
                </c:pt>
                <c:pt idx="90">
                  <c:v>1</c:v>
                </c:pt>
                <c:pt idx="91">
                  <c:v>0.98432544826930357</c:v>
                </c:pt>
                <c:pt idx="92">
                  <c:v>0.97019251014198338</c:v>
                </c:pt>
                <c:pt idx="93">
                  <c:v>0.95704545939898245</c:v>
                </c:pt>
                <c:pt idx="94">
                  <c:v>0.94453086911236961</c:v>
                </c:pt>
                <c:pt idx="95">
                  <c:v>0.93242102286642248</c:v>
                </c:pt>
                <c:pt idx="96">
                  <c:v>0.92056856578678703</c:v>
                </c:pt>
                <c:pt idx="97">
                  <c:v>0.90887875740658453</c:v>
                </c:pt>
                <c:pt idx="98">
                  <c:v>0.89729196329330552</c:v>
                </c:pt>
                <c:pt idx="99">
                  <c:v>0.88577229455072215</c:v>
                </c:pt>
                <c:pt idx="100">
                  <c:v>0.8743000519666474</c:v>
                </c:pt>
                <c:pt idx="101">
                  <c:v>0.86286659199359006</c:v>
                </c:pt>
                <c:pt idx="102">
                  <c:v>0.85147077505643276</c:v>
                </c:pt>
                <c:pt idx="103">
                  <c:v>0.84011647272586576</c:v>
                </c:pt>
                <c:pt idx="104">
                  <c:v>0.82881079905017419</c:v>
                </c:pt>
                <c:pt idx="105">
                  <c:v>0.81756284689642156</c:v>
                </c:pt>
                <c:pt idx="106">
                  <c:v>0.80638278257054496</c:v>
                </c:pt>
                <c:pt idx="107">
                  <c:v>0.79528119838613187</c:v>
                </c:pt>
                <c:pt idx="108">
                  <c:v>0.78426865321781147</c:v>
                </c:pt>
                <c:pt idx="109">
                  <c:v>0.77335535135710642</c:v>
                </c:pt>
                <c:pt idx="110">
                  <c:v>0.76255092380403611</c:v>
                </c:pt>
                <c:pt idx="111">
                  <c:v>0.7518642857184058</c:v>
                </c:pt>
                <c:pt idx="112">
                  <c:v>0.74130355053435804</c:v>
                </c:pt>
                <c:pt idx="113">
                  <c:v>0.73087598611725624</c:v>
                </c:pt>
                <c:pt idx="114">
                  <c:v>0.72058800190464312</c:v>
                </c:pt>
                <c:pt idx="115">
                  <c:v>0.71044515861460145</c:v>
                </c:pt>
                <c:pt idx="116">
                  <c:v>0.70045219408911918</c:v>
                </c:pt>
                <c:pt idx="117">
                  <c:v>0.69061306034744407</c:v>
                </c:pt>
                <c:pt idx="118">
                  <c:v>0.68093096808036413</c:v>
                </c:pt>
                <c:pt idx="119">
                  <c:v>0.67140843570953646</c:v>
                </c:pt>
                <c:pt idx="120">
                  <c:v>0.66204734083007655</c:v>
                </c:pt>
                <c:pt idx="121">
                  <c:v>0.65284897239612127</c:v>
                </c:pt>
                <c:pt idx="122">
                  <c:v>0.64381408243242322</c:v>
                </c:pt>
                <c:pt idx="123">
                  <c:v>0.6349429363861584</c:v>
                </c:pt>
                <c:pt idx="124">
                  <c:v>0.62623536149176295</c:v>
                </c:pt>
                <c:pt idx="125">
                  <c:v>0.61769079272303318</c:v>
                </c:pt>
                <c:pt idx="126">
                  <c:v>0.60930831606275737</c:v>
                </c:pt>
                <c:pt idx="127">
                  <c:v>0.60108670894019345</c:v>
                </c:pt>
                <c:pt idx="128">
                  <c:v>0.59302447777811351</c:v>
                </c:pt>
                <c:pt idx="129">
                  <c:v>0.58511989265983133</c:v>
                </c:pt>
                <c:pt idx="130">
                  <c:v>0.5773710191773157</c:v>
                </c:pt>
                <c:pt idx="131">
                  <c:v>0.56977574755794669</c:v>
                </c:pt>
                <c:pt idx="132">
                  <c:v>0.56233181919273711</c:v>
                </c:pt>
                <c:pt idx="133">
                  <c:v>0.5550368507053669</c:v>
                </c:pt>
                <c:pt idx="134">
                  <c:v>0.54788835571110106</c:v>
                </c:pt>
                <c:pt idx="135">
                  <c:v>0.54088376441919972</c:v>
                </c:pt>
                <c:pt idx="136">
                  <c:v>0.53402044123299253</c:v>
                </c:pt>
                <c:pt idx="137">
                  <c:v>0.52729570049942287</c:v>
                </c:pt>
                <c:pt idx="138">
                  <c:v>0.52070682055536166</c:v>
                </c:pt>
                <c:pt idx="139">
                  <c:v>0.51425105621195655</c:v>
                </c:pt>
                <c:pt idx="140">
                  <c:v>0.50792564981125476</c:v>
                </c:pt>
                <c:pt idx="141">
                  <c:v>0.50172784098166756</c:v>
                </c:pt>
                <c:pt idx="142">
                  <c:v>0.49565487521085716</c:v>
                </c:pt>
                <c:pt idx="143">
                  <c:v>0.48970401134653185</c:v>
                </c:pt>
                <c:pt idx="144">
                  <c:v>0.48387252812761816</c:v>
                </c:pt>
                <c:pt idx="145">
                  <c:v>0.47815772984045868</c:v>
                </c:pt>
                <c:pt idx="146">
                  <c:v>0.47255695118714836</c:v>
                </c:pt>
                <c:pt idx="147">
                  <c:v>0.46706756144592876</c:v>
                </c:pt>
                <c:pt idx="148">
                  <c:v>0.4616869679967886</c:v>
                </c:pt>
                <c:pt idx="149">
                  <c:v>0.45641261927900129</c:v>
                </c:pt>
                <c:pt idx="150">
                  <c:v>0.45124200724138341</c:v>
                </c:pt>
                <c:pt idx="151">
                  <c:v>0.44617266934051714</c:v>
                </c:pt>
                <c:pt idx="152">
                  <c:v>0.44120219013702566</c:v>
                </c:pt>
                <c:pt idx="153">
                  <c:v>0.43632820253527843</c:v>
                </c:pt>
                <c:pt idx="154">
                  <c:v>0.43154838870751694</c:v>
                </c:pt>
                <c:pt idx="155">
                  <c:v>0.42686048073943067</c:v>
                </c:pt>
                <c:pt idx="156">
                  <c:v>0.42226226103052933</c:v>
                </c:pt>
                <c:pt idx="157">
                  <c:v>0.41775156247934075</c:v>
                </c:pt>
                <c:pt idx="158">
                  <c:v>0.41332626848041193</c:v>
                </c:pt>
                <c:pt idx="159">
                  <c:v>0.40898431275733499</c:v>
                </c:pt>
                <c:pt idx="160">
                  <c:v>0.40472367905350454</c:v>
                </c:pt>
                <c:pt idx="161">
                  <c:v>0.40054240070004016</c:v>
                </c:pt>
                <c:pt idx="162">
                  <c:v>0.39643856007824541</c:v>
                </c:pt>
                <c:pt idx="163">
                  <c:v>0.39241028799211258</c:v>
                </c:pt>
                <c:pt idx="164">
                  <c:v>0.38845576296469703</c:v>
                </c:pt>
                <c:pt idx="165">
                  <c:v>0.38457321047066934</c:v>
                </c:pt>
                <c:pt idx="166">
                  <c:v>0.3807609021159799</c:v>
                </c:pt>
                <c:pt idx="167">
                  <c:v>0.37701715477434244</c:v>
                </c:pt>
                <c:pt idx="168">
                  <c:v>0.37334032968912922</c:v>
                </c:pt>
                <c:pt idx="169">
                  <c:v>0.36972883154827652</c:v>
                </c:pt>
                <c:pt idx="170">
                  <c:v>0.36618110753890099</c:v>
                </c:pt>
                <c:pt idx="171">
                  <c:v>0.36269564638752771</c:v>
                </c:pt>
                <c:pt idx="172">
                  <c:v>0.35927097739110497</c:v>
                </c:pt>
                <c:pt idx="173">
                  <c:v>0.35590566944334096</c:v>
                </c:pt>
                <c:pt idx="174">
                  <c:v>0.3525983300603161</c:v>
                </c:pt>
                <c:pt idx="175">
                  <c:v>0.34934760440881163</c:v>
                </c:pt>
                <c:pt idx="176">
                  <c:v>0.3461521743403303</c:v>
                </c:pt>
                <c:pt idx="177">
                  <c:v>0.34301075743337717</c:v>
                </c:pt>
                <c:pt idx="178">
                  <c:v>0.33992210604620005</c:v>
                </c:pt>
                <c:pt idx="179">
                  <c:v>0.33688500638186208</c:v>
                </c:pt>
                <c:pt idx="180">
                  <c:v>0.33389827756722956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'Frequency Data'!$D$1</c:f>
              <c:strCache>
                <c:ptCount val="1"/>
                <c:pt idx="0">
                  <c:v>Mnom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Data'!$D$2:$D$182</c:f>
              <c:numCache>
                <c:formatCode>General</c:formatCode>
                <c:ptCount val="181"/>
                <c:pt idx="0">
                  <c:v>5.3765518795701343E-2</c:v>
                </c:pt>
                <c:pt idx="1">
                  <c:v>6.5449932494002605E-2</c:v>
                </c:pt>
                <c:pt idx="2">
                  <c:v>7.840260966098217E-2</c:v>
                </c:pt>
                <c:pt idx="3">
                  <c:v>9.2664700249558724E-2</c:v>
                </c:pt>
                <c:pt idx="4">
                  <c:v>0.10827999607340086</c:v>
                </c:pt>
                <c:pt idx="5">
                  <c:v>0.12529443947462751</c:v>
                </c:pt>
                <c:pt idx="6">
                  <c:v>0.14375547040175465</c:v>
                </c:pt>
                <c:pt idx="7">
                  <c:v>0.1637111742821537</c:v>
                </c:pt>
                <c:pt idx="8">
                  <c:v>0.18520918812185502</c:v>
                </c:pt>
                <c:pt idx="9">
                  <c:v>0.20829531807727367</c:v>
                </c:pt>
                <c:pt idx="10">
                  <c:v>0.23301181920741557</c:v>
                </c:pt>
                <c:pt idx="11">
                  <c:v>0.25939528849903848</c:v>
                </c:pt>
                <c:pt idx="12">
                  <c:v>0.2874741272764812</c:v>
                </c:pt>
                <c:pt idx="13">
                  <c:v>0.31726554095631593</c:v>
                </c:pt>
                <c:pt idx="14">
                  <c:v>0.3487720654049824</c:v>
                </c:pt>
                <c:pt idx="15">
                  <c:v>0.38197764275281382</c:v>
                </c:pt>
                <c:pt idx="16">
                  <c:v>0.4168433180582109</c:v>
                </c:pt>
                <c:pt idx="17">
                  <c:v>0.45330269341068069</c:v>
                </c:pt>
                <c:pt idx="18">
                  <c:v>0.49125735757937972</c:v>
                </c:pt>
                <c:pt idx="19">
                  <c:v>0.53057260335181933</c:v>
                </c:pt>
                <c:pt idx="20">
                  <c:v>0.57107384244034864</c:v>
                </c:pt>
                <c:pt idx="21">
                  <c:v>0.6125442142038533</c:v>
                </c:pt>
                <c:pt idx="22">
                  <c:v>0.65472393802532558</c:v>
                </c:pt>
                <c:pt idx="23">
                  <c:v>0.69731195413638147</c:v>
                </c:pt>
                <c:pt idx="24">
                  <c:v>0.73997030840113853</c:v>
                </c:pt>
                <c:pt idx="25">
                  <c:v>0.78233154543392636</c:v>
                </c:pt>
                <c:pt idx="26">
                  <c:v>0.82400908114177041</c:v>
                </c:pt>
                <c:pt idx="27">
                  <c:v>0.86461015557522591</c:v>
                </c:pt>
                <c:pt idx="28">
                  <c:v>0.90375057333235509</c:v>
                </c:pt>
                <c:pt idx="29">
                  <c:v>0.9410700969978657</c:v>
                </c:pt>
                <c:pt idx="30">
                  <c:v>0.97624714959923586</c:v>
                </c:pt>
                <c:pt idx="31">
                  <c:v>1.0090114668794365</c:v>
                </c:pt>
                <c:pt idx="32">
                  <c:v>1.0391535410409913</c:v>
                </c:pt>
                <c:pt idx="33">
                  <c:v>1.0665300847498098</c:v>
                </c:pt>
                <c:pt idx="34">
                  <c:v>1.091065242086865</c:v>
                </c:pt>
                <c:pt idx="35">
                  <c:v>1.1127477819763609</c:v>
                </c:pt>
                <c:pt idx="36">
                  <c:v>1.1316249341639497</c:v>
                </c:pt>
                <c:pt idx="37">
                  <c:v>1.1477938025188332</c:v>
                </c:pt>
                <c:pt idx="38">
                  <c:v>1.1613913920676902</c:v>
                </c:pt>
                <c:pt idx="39">
                  <c:v>1.1725842316677446</c:v>
                </c:pt>
                <c:pt idx="40">
                  <c:v>1.1815584075407735</c:v>
                </c:pt>
                <c:pt idx="41">
                  <c:v>1.1885105978785839</c:v>
                </c:pt>
                <c:pt idx="42">
                  <c:v>1.1936404644751171</c:v>
                </c:pt>
                <c:pt idx="43">
                  <c:v>1.1971445493877741</c:v>
                </c:pt>
                <c:pt idx="44">
                  <c:v>1.1992116625067226</c:v>
                </c:pt>
                <c:pt idx="45">
                  <c:v>1.2000196351829018</c:v>
                </c:pt>
                <c:pt idx="46">
                  <c:v>1.1997332516040351</c:v>
                </c:pt>
                <c:pt idx="47">
                  <c:v>1.1985031440984477</c:v>
                </c:pt>
                <c:pt idx="48">
                  <c:v>1.1964654401085941</c:v>
                </c:pt>
                <c:pt idx="49">
                  <c:v>1.193741967106116</c:v>
                </c:pt>
                <c:pt idx="50">
                  <c:v>1.1904408490597926</c:v>
                </c:pt>
                <c:pt idx="51">
                  <c:v>1.1866573583215714</c:v>
                </c:pt>
                <c:pt idx="52">
                  <c:v>1.1824749161434116</c:v>
                </c:pt>
                <c:pt idx="53">
                  <c:v>1.1779661613168049</c:v>
                </c:pt>
                <c:pt idx="54">
                  <c:v>1.1731940286707774</c:v>
                </c:pt>
                <c:pt idx="55">
                  <c:v>1.1682127971889409</c:v>
                </c:pt>
                <c:pt idx="56">
                  <c:v>1.1630690815874918</c:v>
                </c:pt>
                <c:pt idx="57">
                  <c:v>1.1578027518390175</c:v>
                </c:pt>
                <c:pt idx="58">
                  <c:v>1.1524477729152869</c:v>
                </c:pt>
                <c:pt idx="59">
                  <c:v>1.1470329625282123</c:v>
                </c:pt>
                <c:pt idx="60">
                  <c:v>1.141582668385607</c:v>
                </c:pt>
                <c:pt idx="61">
                  <c:v>1.1361173688826904</c:v>
                </c:pt>
                <c:pt idx="62">
                  <c:v>1.1306542025758695</c:v>
                </c:pt>
                <c:pt idx="63">
                  <c:v>1.1252074325114962</c:v>
                </c:pt>
                <c:pt idx="64">
                  <c:v>1.119788851723474</c:v>
                </c:pt>
                <c:pt idx="65">
                  <c:v>1.1144081361306861</c:v>
                </c:pt>
                <c:pt idx="66">
                  <c:v>1.1090731507763734</c:v>
                </c:pt>
                <c:pt idx="67">
                  <c:v>1.1037902149415872</c:v>
                </c:pt>
                <c:pt idx="68">
                  <c:v>1.0985643311932931</c:v>
                </c:pt>
                <c:pt idx="69">
                  <c:v>1.0933993829351534</c:v>
                </c:pt>
                <c:pt idx="70">
                  <c:v>1.0882983045423194</c:v>
                </c:pt>
                <c:pt idx="71">
                  <c:v>1.083263227697481</c:v>
                </c:pt>
                <c:pt idx="72">
                  <c:v>1.0782956071137308</c:v>
                </c:pt>
                <c:pt idx="73">
                  <c:v>1.0733963284353685</c:v>
                </c:pt>
                <c:pt idx="74">
                  <c:v>1.0685658007522318</c:v>
                </c:pt>
                <c:pt idx="75">
                  <c:v>1.0638040358459033</c:v>
                </c:pt>
                <c:pt idx="76">
                  <c:v>1.0591107160053923</c:v>
                </c:pt>
                <c:pt idx="77">
                  <c:v>1.0544852520029837</c:v>
                </c:pt>
                <c:pt idx="78">
                  <c:v>1.0499268326048992</c:v>
                </c:pt>
                <c:pt idx="79">
                  <c:v>1.0454344668031308</c:v>
                </c:pt>
                <c:pt idx="80">
                  <c:v>1.0410070197912589</c:v>
                </c:pt>
                <c:pt idx="81">
                  <c:v>1.036643243565343</c:v>
                </c:pt>
                <c:pt idx="82">
                  <c:v>1.0323418029084452</c:v>
                </c:pt>
                <c:pt idx="83">
                  <c:v>1.0281012974115638</c:v>
                </c:pt>
                <c:pt idx="84">
                  <c:v>1.023920280092546</c:v>
                </c:pt>
                <c:pt idx="85">
                  <c:v>1.0197972730959972</c:v>
                </c:pt>
                <c:pt idx="86">
                  <c:v>1.0157307808895795</c:v>
                </c:pt>
                <c:pt idx="87">
                  <c:v>1.0117193013139256</c:v>
                </c:pt>
                <c:pt idx="88">
                  <c:v>1.00776133479337</c:v>
                </c:pt>
                <c:pt idx="89">
                  <c:v>1.0038553919716802</c:v>
                </c:pt>
                <c:pt idx="90">
                  <c:v>1</c:v>
                </c:pt>
                <c:pt idx="91">
                  <c:v>0.96392191940185379</c:v>
                </c:pt>
                <c:pt idx="92">
                  <c:v>0.93150982874753041</c:v>
                </c:pt>
                <c:pt idx="93">
                  <c:v>0.90183902081413769</c:v>
                </c:pt>
                <c:pt idx="94">
                  <c:v>0.87427409630169461</c:v>
                </c:pt>
                <c:pt idx="95">
                  <c:v>0.84838580735413416</c:v>
                </c:pt>
                <c:pt idx="96">
                  <c:v>0.82388391154210228</c:v>
                </c:pt>
                <c:pt idx="97">
                  <c:v>0.80057006936277375</c:v>
                </c:pt>
                <c:pt idx="98">
                  <c:v>0.77830624827594064</c:v>
                </c:pt>
                <c:pt idx="99">
                  <c:v>0.75699385799053864</c:v>
                </c:pt>
                <c:pt idx="100">
                  <c:v>0.73656004910758022</c:v>
                </c:pt>
                <c:pt idx="101">
                  <c:v>0.71694873937492432</c:v>
                </c:pt>
                <c:pt idx="102">
                  <c:v>0.69811475262868228</c:v>
                </c:pt>
                <c:pt idx="103">
                  <c:v>0.68002000805243856</c:v>
                </c:pt>
                <c:pt idx="104">
                  <c:v>0.66263106061030386</c:v>
                </c:pt>
                <c:pt idx="105">
                  <c:v>0.64591753109240324</c:v>
                </c:pt>
                <c:pt idx="106">
                  <c:v>0.62985112001492072</c:v>
                </c:pt>
                <c:pt idx="107">
                  <c:v>0.61440500233344131</c:v>
                </c:pt>
                <c:pt idx="108">
                  <c:v>0.59955346803384668</c:v>
                </c:pt>
                <c:pt idx="109">
                  <c:v>0.58527171904692799</c:v>
                </c:pt>
                <c:pt idx="110">
                  <c:v>0.57153576328363931</c:v>
                </c:pt>
                <c:pt idx="111">
                  <c:v>0.55832236692706472</c:v>
                </c:pt>
                <c:pt idx="112">
                  <c:v>0.54560903974938157</c:v>
                </c:pt>
                <c:pt idx="113">
                  <c:v>0.53337403734152544</c:v>
                </c:pt>
                <c:pt idx="114">
                  <c:v>0.52159637021755612</c:v>
                </c:pt>
                <c:pt idx="115">
                  <c:v>0.51025581377265772</c:v>
                </c:pt>
                <c:pt idx="116">
                  <c:v>0.49933291570123484</c:v>
                </c:pt>
                <c:pt idx="117">
                  <c:v>0.48880899917297216</c:v>
                </c:pt>
                <c:pt idx="118">
                  <c:v>0.47866616112815846</c:v>
                </c:pt>
                <c:pt idx="119">
                  <c:v>0.46888726569869965</c:v>
                </c:pt>
                <c:pt idx="120">
                  <c:v>0.4594559331305671</c:v>
                </c:pt>
                <c:pt idx="121">
                  <c:v>0.45035652477355709</c:v>
                </c:pt>
                <c:pt idx="122">
                  <c:v>0.44157412478043018</c:v>
                </c:pt>
                <c:pt idx="123">
                  <c:v>0.43309451916347957</c:v>
                </c:pt>
                <c:pt idx="124">
                  <c:v>0.42490417282142862</c:v>
                </c:pt>
                <c:pt idx="125">
                  <c:v>0.4169902050923453</c:v>
                </c:pt>
                <c:pt idx="126">
                  <c:v>0.40934036432122489</c:v>
                </c:pt>
                <c:pt idx="127">
                  <c:v>0.40194300186173421</c:v>
                </c:pt>
                <c:pt idx="128">
                  <c:v>0.39478704586492036</c:v>
                </c:pt>
                <c:pt idx="129">
                  <c:v>0.38786197514604465</c:v>
                </c:pt>
                <c:pt idx="130">
                  <c:v>0.38115779336537015</c:v>
                </c:pt>
                <c:pt idx="131">
                  <c:v>0.37466500371011507</c:v>
                </c:pt>
                <c:pt idx="132">
                  <c:v>0.36837458422280034</c:v>
                </c:pt>
                <c:pt idx="133">
                  <c:v>0.36227796388545469</c:v>
                </c:pt>
                <c:pt idx="134">
                  <c:v>0.35636699953905743</c:v>
                </c:pt>
                <c:pt idx="135">
                  <c:v>0.35063395369257233</c:v>
                </c:pt>
                <c:pt idx="136">
                  <c:v>0.34507147325532689</c:v>
                </c:pt>
                <c:pt idx="137">
                  <c:v>0.33967256920972649</c:v>
                </c:pt>
                <c:pt idx="138">
                  <c:v>0.33443059722781104</c:v>
                </c:pt>
                <c:pt idx="139">
                  <c:v>0.32933923922444736</c:v>
                </c:pt>
                <c:pt idx="140">
                  <c:v>0.32439248583158475</c:v>
                </c:pt>
                <c:pt idx="141">
                  <c:v>0.31958461977157548</c:v>
                </c:pt>
                <c:pt idx="142">
                  <c:v>0.31491020010275789</c:v>
                </c:pt>
                <c:pt idx="143">
                  <c:v>0.31036404730702183</c:v>
                </c:pt>
                <c:pt idx="144">
                  <c:v>0.30594122918668432</c:v>
                </c:pt>
                <c:pt idx="145">
                  <c:v>0.30163704753649534</c:v>
                </c:pt>
                <c:pt idx="146">
                  <c:v>0.29744702555579161</c:v>
                </c:pt>
                <c:pt idx="147">
                  <c:v>0.29336689596556731</c:v>
                </c:pt>
                <c:pt idx="148">
                  <c:v>0.28939258979545912</c:v>
                </c:pt>
                <c:pt idx="149">
                  <c:v>0.28552022580616232</c:v>
                </c:pt>
                <c:pt idx="150">
                  <c:v>0.28174610051362547</c:v>
                </c:pt>
                <c:pt idx="151">
                  <c:v>0.27806667878237801</c:v>
                </c:pt>
                <c:pt idx="152">
                  <c:v>0.27447858495647898</c:v>
                </c:pt>
                <c:pt idx="153">
                  <c:v>0.27097859449784084</c:v>
                </c:pt>
                <c:pt idx="154">
                  <c:v>0.26756362610295897</c:v>
                </c:pt>
                <c:pt idx="155">
                  <c:v>0.26423073427044724</c:v>
                </c:pt>
                <c:pt idx="156">
                  <c:v>0.26097710229310017</c:v>
                </c:pt>
                <c:pt idx="157">
                  <c:v>0.25780003564955917</c:v>
                </c:pt>
                <c:pt idx="158">
                  <c:v>0.25469695577196871</c:v>
                </c:pt>
                <c:pt idx="159">
                  <c:v>0.25166539416729988</c:v>
                </c:pt>
                <c:pt idx="160">
                  <c:v>0.24870298687126435</c:v>
                </c:pt>
                <c:pt idx="161">
                  <c:v>0.24580746921494129</c:v>
                </c:pt>
                <c:pt idx="162">
                  <c:v>0.24297667088539718</c:v>
                </c:pt>
                <c:pt idx="163">
                  <c:v>0.2402085112626775</c:v>
                </c:pt>
                <c:pt idx="164">
                  <c:v>0.23750099501660071</c:v>
                </c:pt>
                <c:pt idx="165">
                  <c:v>0.23485220794778136</c:v>
                </c:pt>
                <c:pt idx="166">
                  <c:v>0.23226031305825698</c:v>
                </c:pt>
                <c:pt idx="167">
                  <c:v>0.22972354683798363</c:v>
                </c:pt>
                <c:pt idx="168">
                  <c:v>0.227240215754313</c:v>
                </c:pt>
                <c:pt idx="169">
                  <c:v>0.22480869293235711</c:v>
                </c:pt>
                <c:pt idx="170">
                  <c:v>0.22242741501489641</c:v>
                </c:pt>
                <c:pt idx="171">
                  <c:v>0.22009487919119256</c:v>
                </c:pt>
                <c:pt idx="172">
                  <c:v>0.21780964038472778</c:v>
                </c:pt>
                <c:pt idx="173">
                  <c:v>0.21557030859051518</c:v>
                </c:pt>
                <c:pt idx="174">
                  <c:v>0.21337554635320566</c:v>
                </c:pt>
                <c:pt idx="175">
                  <c:v>0.21122406637776714</c:v>
                </c:pt>
                <c:pt idx="176">
                  <c:v>0.20911462926501895</c:v>
                </c:pt>
                <c:pt idx="177">
                  <c:v>0.20704604136478827</c:v>
                </c:pt>
                <c:pt idx="178">
                  <c:v>0.20501715273990359</c:v>
                </c:pt>
                <c:pt idx="179">
                  <c:v>0.20302685523465872</c:v>
                </c:pt>
                <c:pt idx="180">
                  <c:v>0.20107408064177837</c:v>
                </c:pt>
              </c:numCache>
            </c:numRef>
          </c:yVal>
          <c:smooth val="1"/>
        </c:ser>
        <c:ser>
          <c:idx val="2"/>
          <c:order val="3"/>
          <c:tx>
            <c:strRef>
              <c:f>'Frequency Data'!$E$1</c:f>
              <c:strCache>
                <c:ptCount val="1"/>
                <c:pt idx="0">
                  <c:v>Mmin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Data'!$E$2:$E$182</c:f>
              <c:numCache>
                <c:formatCode>0.000</c:formatCode>
                <c:ptCount val="181"/>
                <c:pt idx="0">
                  <c:v>0.94069505396750086</c:v>
                </c:pt>
                <c:pt idx="1">
                  <c:v>0.94069505396750086</c:v>
                </c:pt>
                <c:pt idx="2">
                  <c:v>0.94069505396750086</c:v>
                </c:pt>
                <c:pt idx="3">
                  <c:v>0.94069505396750086</c:v>
                </c:pt>
                <c:pt idx="4">
                  <c:v>0.94069505396750086</c:v>
                </c:pt>
                <c:pt idx="5">
                  <c:v>0.94069505396750086</c:v>
                </c:pt>
                <c:pt idx="6">
                  <c:v>0.94069505396750086</c:v>
                </c:pt>
                <c:pt idx="7">
                  <c:v>0.94069505396750086</c:v>
                </c:pt>
                <c:pt idx="8">
                  <c:v>0.94069505396750086</c:v>
                </c:pt>
                <c:pt idx="9">
                  <c:v>0.94069505396750086</c:v>
                </c:pt>
                <c:pt idx="10">
                  <c:v>0.94069505396750086</c:v>
                </c:pt>
                <c:pt idx="11">
                  <c:v>0.94069505396750086</c:v>
                </c:pt>
                <c:pt idx="12">
                  <c:v>0.94069505396750086</c:v>
                </c:pt>
                <c:pt idx="13">
                  <c:v>0.94069505396750086</c:v>
                </c:pt>
                <c:pt idx="14">
                  <c:v>0.94069505396750086</c:v>
                </c:pt>
                <c:pt idx="15">
                  <c:v>0.94069505396750086</c:v>
                </c:pt>
                <c:pt idx="16">
                  <c:v>0.94069505396750086</c:v>
                </c:pt>
                <c:pt idx="17">
                  <c:v>0.94069505396750086</c:v>
                </c:pt>
                <c:pt idx="18">
                  <c:v>0.94069505396750086</c:v>
                </c:pt>
                <c:pt idx="19">
                  <c:v>0.94069505396750086</c:v>
                </c:pt>
                <c:pt idx="20">
                  <c:v>0.94069505396750086</c:v>
                </c:pt>
                <c:pt idx="21">
                  <c:v>0.94069505396750086</c:v>
                </c:pt>
                <c:pt idx="22">
                  <c:v>0.94069505396750086</c:v>
                </c:pt>
                <c:pt idx="23">
                  <c:v>0.94069505396750086</c:v>
                </c:pt>
                <c:pt idx="24">
                  <c:v>0.94069505396750086</c:v>
                </c:pt>
                <c:pt idx="25">
                  <c:v>0.94069505396750086</c:v>
                </c:pt>
                <c:pt idx="26">
                  <c:v>0.94069505396750086</c:v>
                </c:pt>
                <c:pt idx="27">
                  <c:v>0.94069505396750086</c:v>
                </c:pt>
                <c:pt idx="28">
                  <c:v>0.94069505396750086</c:v>
                </c:pt>
                <c:pt idx="29">
                  <c:v>0.94069505396750086</c:v>
                </c:pt>
                <c:pt idx="30">
                  <c:v>0.94069505396750086</c:v>
                </c:pt>
                <c:pt idx="31">
                  <c:v>0.94069505396750086</c:v>
                </c:pt>
                <c:pt idx="32">
                  <c:v>0.94069505396750086</c:v>
                </c:pt>
                <c:pt idx="33">
                  <c:v>0.94069505396750086</c:v>
                </c:pt>
                <c:pt idx="34">
                  <c:v>0.94069505396750086</c:v>
                </c:pt>
                <c:pt idx="35">
                  <c:v>0.94069505396750086</c:v>
                </c:pt>
                <c:pt idx="36">
                  <c:v>0.94069505396750086</c:v>
                </c:pt>
                <c:pt idx="37">
                  <c:v>0.94069505396750086</c:v>
                </c:pt>
                <c:pt idx="38">
                  <c:v>0.94069505396750086</c:v>
                </c:pt>
                <c:pt idx="39">
                  <c:v>0.94069505396750086</c:v>
                </c:pt>
                <c:pt idx="40">
                  <c:v>0.94069505396750086</c:v>
                </c:pt>
                <c:pt idx="41">
                  <c:v>0.94069505396750086</c:v>
                </c:pt>
                <c:pt idx="42">
                  <c:v>0.94069505396750086</c:v>
                </c:pt>
                <c:pt idx="43">
                  <c:v>0.94069505396750086</c:v>
                </c:pt>
                <c:pt idx="44">
                  <c:v>0.94069505396750086</c:v>
                </c:pt>
                <c:pt idx="45">
                  <c:v>0.94069505396750086</c:v>
                </c:pt>
                <c:pt idx="46">
                  <c:v>0.94069505396750086</c:v>
                </c:pt>
                <c:pt idx="47">
                  <c:v>0.94069505396750086</c:v>
                </c:pt>
                <c:pt idx="48">
                  <c:v>0.94069505396750086</c:v>
                </c:pt>
                <c:pt idx="49">
                  <c:v>0.94069505396750086</c:v>
                </c:pt>
                <c:pt idx="50">
                  <c:v>0.94069505396750086</c:v>
                </c:pt>
                <c:pt idx="51">
                  <c:v>0.94069505396750086</c:v>
                </c:pt>
                <c:pt idx="52">
                  <c:v>0.94069505396750086</c:v>
                </c:pt>
                <c:pt idx="53">
                  <c:v>0.94069505396750086</c:v>
                </c:pt>
                <c:pt idx="54">
                  <c:v>0.94069505396750086</c:v>
                </c:pt>
                <c:pt idx="55">
                  <c:v>0.94069505396750086</c:v>
                </c:pt>
                <c:pt idx="56">
                  <c:v>0.94069505396750086</c:v>
                </c:pt>
                <c:pt idx="57">
                  <c:v>0.94069505396750086</c:v>
                </c:pt>
                <c:pt idx="58">
                  <c:v>0.94069505396750086</c:v>
                </c:pt>
                <c:pt idx="59">
                  <c:v>0.94069505396750086</c:v>
                </c:pt>
                <c:pt idx="60">
                  <c:v>0.94069505396750086</c:v>
                </c:pt>
                <c:pt idx="61">
                  <c:v>0.94069505396750086</c:v>
                </c:pt>
                <c:pt idx="62">
                  <c:v>0.94069505396750086</c:v>
                </c:pt>
                <c:pt idx="63">
                  <c:v>0.94069505396750086</c:v>
                </c:pt>
                <c:pt idx="64">
                  <c:v>0.94069505396750086</c:v>
                </c:pt>
                <c:pt idx="65">
                  <c:v>0.94069505396750086</c:v>
                </c:pt>
                <c:pt idx="66">
                  <c:v>0.94069505396750086</c:v>
                </c:pt>
                <c:pt idx="67">
                  <c:v>0.94069505396750086</c:v>
                </c:pt>
                <c:pt idx="68">
                  <c:v>0.94069505396750086</c:v>
                </c:pt>
                <c:pt idx="69">
                  <c:v>0.94069505396750086</c:v>
                </c:pt>
                <c:pt idx="70">
                  <c:v>0.94069505396750086</c:v>
                </c:pt>
                <c:pt idx="71">
                  <c:v>0.94069505396750086</c:v>
                </c:pt>
                <c:pt idx="72">
                  <c:v>0.94069505396750086</c:v>
                </c:pt>
                <c:pt idx="73">
                  <c:v>0.94069505396750086</c:v>
                </c:pt>
                <c:pt idx="74">
                  <c:v>0.94069505396750086</c:v>
                </c:pt>
                <c:pt idx="75">
                  <c:v>0.94069505396750086</c:v>
                </c:pt>
                <c:pt idx="76">
                  <c:v>0.94069505396750086</c:v>
                </c:pt>
                <c:pt idx="77">
                  <c:v>0.94069505396750086</c:v>
                </c:pt>
                <c:pt idx="78">
                  <c:v>0.94069505396750086</c:v>
                </c:pt>
                <c:pt idx="79">
                  <c:v>0.94069505396750086</c:v>
                </c:pt>
                <c:pt idx="80">
                  <c:v>0.94069505396750086</c:v>
                </c:pt>
                <c:pt idx="81">
                  <c:v>0.94069505396750086</c:v>
                </c:pt>
                <c:pt idx="82">
                  <c:v>0.94069505396750086</c:v>
                </c:pt>
                <c:pt idx="83">
                  <c:v>0.94069505396750086</c:v>
                </c:pt>
                <c:pt idx="84">
                  <c:v>0.94069505396750086</c:v>
                </c:pt>
                <c:pt idx="85">
                  <c:v>0.94069505396750086</c:v>
                </c:pt>
                <c:pt idx="86">
                  <c:v>0.94069505396750086</c:v>
                </c:pt>
                <c:pt idx="87">
                  <c:v>0.94069505396750086</c:v>
                </c:pt>
                <c:pt idx="88">
                  <c:v>0.94069505396750086</c:v>
                </c:pt>
                <c:pt idx="89">
                  <c:v>0.94069505396750086</c:v>
                </c:pt>
                <c:pt idx="90">
                  <c:v>0.94069505396750086</c:v>
                </c:pt>
                <c:pt idx="91">
                  <c:v>0.94069505396750086</c:v>
                </c:pt>
                <c:pt idx="92">
                  <c:v>0.94069505396750086</c:v>
                </c:pt>
                <c:pt idx="93">
                  <c:v>0.94069505396750086</c:v>
                </c:pt>
                <c:pt idx="94">
                  <c:v>0.94069505396750086</c:v>
                </c:pt>
                <c:pt idx="95">
                  <c:v>0.94069505396750086</c:v>
                </c:pt>
                <c:pt idx="96">
                  <c:v>0.94069505396750086</c:v>
                </c:pt>
                <c:pt idx="97">
                  <c:v>0.94069505396750086</c:v>
                </c:pt>
                <c:pt idx="98">
                  <c:v>0.94069505396750086</c:v>
                </c:pt>
                <c:pt idx="99">
                  <c:v>0.94069505396750086</c:v>
                </c:pt>
                <c:pt idx="100">
                  <c:v>0.94069505396750086</c:v>
                </c:pt>
                <c:pt idx="101">
                  <c:v>0.94069505396750086</c:v>
                </c:pt>
                <c:pt idx="102">
                  <c:v>0.94069505396750086</c:v>
                </c:pt>
                <c:pt idx="103">
                  <c:v>0.94069505396750086</c:v>
                </c:pt>
                <c:pt idx="104">
                  <c:v>0.94069505396750086</c:v>
                </c:pt>
                <c:pt idx="105">
                  <c:v>0.94069505396750086</c:v>
                </c:pt>
                <c:pt idx="106">
                  <c:v>0.94069505396750086</c:v>
                </c:pt>
                <c:pt idx="107">
                  <c:v>0.94069505396750086</c:v>
                </c:pt>
                <c:pt idx="108">
                  <c:v>0.94069505396750086</c:v>
                </c:pt>
                <c:pt idx="109">
                  <c:v>0.94069505396750086</c:v>
                </c:pt>
                <c:pt idx="110">
                  <c:v>0.94069505396750086</c:v>
                </c:pt>
                <c:pt idx="111">
                  <c:v>0.94069505396750086</c:v>
                </c:pt>
                <c:pt idx="112">
                  <c:v>0.94069505396750086</c:v>
                </c:pt>
                <c:pt idx="113">
                  <c:v>0.94069505396750086</c:v>
                </c:pt>
                <c:pt idx="114">
                  <c:v>0.94069505396750086</c:v>
                </c:pt>
                <c:pt idx="115">
                  <c:v>0.94069505396750086</c:v>
                </c:pt>
                <c:pt idx="116">
                  <c:v>0.94069505396750086</c:v>
                </c:pt>
                <c:pt idx="117">
                  <c:v>0.94069505396750086</c:v>
                </c:pt>
                <c:pt idx="118">
                  <c:v>0.94069505396750086</c:v>
                </c:pt>
                <c:pt idx="119">
                  <c:v>0.94069505396750086</c:v>
                </c:pt>
                <c:pt idx="120">
                  <c:v>0.94069505396750086</c:v>
                </c:pt>
                <c:pt idx="121">
                  <c:v>0.94069505396750086</c:v>
                </c:pt>
                <c:pt idx="122">
                  <c:v>0.94069505396750086</c:v>
                </c:pt>
                <c:pt idx="123">
                  <c:v>0.94069505396750086</c:v>
                </c:pt>
                <c:pt idx="124">
                  <c:v>0.94069505396750086</c:v>
                </c:pt>
                <c:pt idx="125">
                  <c:v>0.94069505396750086</c:v>
                </c:pt>
                <c:pt idx="126">
                  <c:v>0.94069505396750086</c:v>
                </c:pt>
                <c:pt idx="127">
                  <c:v>0.94069505396750086</c:v>
                </c:pt>
                <c:pt idx="128">
                  <c:v>0.94069505396750086</c:v>
                </c:pt>
                <c:pt idx="129">
                  <c:v>0.94069505396750086</c:v>
                </c:pt>
                <c:pt idx="130">
                  <c:v>0.94069505396750086</c:v>
                </c:pt>
                <c:pt idx="131">
                  <c:v>0.94069505396750086</c:v>
                </c:pt>
                <c:pt idx="132">
                  <c:v>0.94069505396750086</c:v>
                </c:pt>
                <c:pt idx="133">
                  <c:v>0.94069505396750086</c:v>
                </c:pt>
                <c:pt idx="134">
                  <c:v>0.94069505396750086</c:v>
                </c:pt>
                <c:pt idx="135">
                  <c:v>0.94069505396750086</c:v>
                </c:pt>
                <c:pt idx="136">
                  <c:v>0.94069505396750086</c:v>
                </c:pt>
                <c:pt idx="137">
                  <c:v>0.94069505396750086</c:v>
                </c:pt>
                <c:pt idx="138">
                  <c:v>0.94069505396750086</c:v>
                </c:pt>
                <c:pt idx="139">
                  <c:v>0.94069505396750086</c:v>
                </c:pt>
                <c:pt idx="140">
                  <c:v>0.94069505396750086</c:v>
                </c:pt>
                <c:pt idx="141">
                  <c:v>0.94069505396750086</c:v>
                </c:pt>
                <c:pt idx="142">
                  <c:v>0.94069505396750086</c:v>
                </c:pt>
                <c:pt idx="143">
                  <c:v>0.94069505396750086</c:v>
                </c:pt>
                <c:pt idx="144">
                  <c:v>0.94069505396750086</c:v>
                </c:pt>
                <c:pt idx="145">
                  <c:v>0.94069505396750086</c:v>
                </c:pt>
                <c:pt idx="146">
                  <c:v>0.94069505396750086</c:v>
                </c:pt>
                <c:pt idx="147">
                  <c:v>0.94069505396750086</c:v>
                </c:pt>
                <c:pt idx="148">
                  <c:v>0.94069505396750086</c:v>
                </c:pt>
                <c:pt idx="149">
                  <c:v>0.94069505396750086</c:v>
                </c:pt>
                <c:pt idx="150">
                  <c:v>0.94069505396750086</c:v>
                </c:pt>
                <c:pt idx="151">
                  <c:v>0.94069505396750086</c:v>
                </c:pt>
                <c:pt idx="152">
                  <c:v>0.94069505396750086</c:v>
                </c:pt>
                <c:pt idx="153">
                  <c:v>0.94069505396750086</c:v>
                </c:pt>
                <c:pt idx="154">
                  <c:v>0.94069505396750086</c:v>
                </c:pt>
                <c:pt idx="155">
                  <c:v>0.94069505396750086</c:v>
                </c:pt>
                <c:pt idx="156">
                  <c:v>0.94069505396750086</c:v>
                </c:pt>
                <c:pt idx="157">
                  <c:v>0.94069505396750086</c:v>
                </c:pt>
                <c:pt idx="158">
                  <c:v>0.94069505396750086</c:v>
                </c:pt>
                <c:pt idx="159">
                  <c:v>0.94069505396750086</c:v>
                </c:pt>
                <c:pt idx="160">
                  <c:v>0.94069505396750086</c:v>
                </c:pt>
                <c:pt idx="161">
                  <c:v>0.94069505396750086</c:v>
                </c:pt>
                <c:pt idx="162">
                  <c:v>0.94069505396750086</c:v>
                </c:pt>
                <c:pt idx="163">
                  <c:v>0.94069505396750086</c:v>
                </c:pt>
                <c:pt idx="164">
                  <c:v>0.94069505396750086</c:v>
                </c:pt>
                <c:pt idx="165">
                  <c:v>0.94069505396750086</c:v>
                </c:pt>
                <c:pt idx="166">
                  <c:v>0.94069505396750086</c:v>
                </c:pt>
                <c:pt idx="167">
                  <c:v>0.94069505396750086</c:v>
                </c:pt>
                <c:pt idx="168">
                  <c:v>0.94069505396750086</c:v>
                </c:pt>
                <c:pt idx="169">
                  <c:v>0.94069505396750086</c:v>
                </c:pt>
                <c:pt idx="170">
                  <c:v>0.94069505396750086</c:v>
                </c:pt>
                <c:pt idx="171">
                  <c:v>0.94069505396750086</c:v>
                </c:pt>
                <c:pt idx="172">
                  <c:v>0.94069505396750086</c:v>
                </c:pt>
                <c:pt idx="173">
                  <c:v>0.94069505396750086</c:v>
                </c:pt>
                <c:pt idx="174">
                  <c:v>0.94069505396750086</c:v>
                </c:pt>
                <c:pt idx="175">
                  <c:v>0.94069505396750086</c:v>
                </c:pt>
                <c:pt idx="176">
                  <c:v>0.94069505396750086</c:v>
                </c:pt>
                <c:pt idx="177">
                  <c:v>0.94069505396750086</c:v>
                </c:pt>
                <c:pt idx="178">
                  <c:v>0.94069505396750086</c:v>
                </c:pt>
                <c:pt idx="179">
                  <c:v>0.94069505396750086</c:v>
                </c:pt>
                <c:pt idx="180">
                  <c:v>0.94069505396750086</c:v>
                </c:pt>
              </c:numCache>
            </c:numRef>
          </c:yVal>
          <c:smooth val="1"/>
        </c:ser>
        <c:ser>
          <c:idx val="3"/>
          <c:order val="4"/>
          <c:tx>
            <c:strRef>
              <c:f>'Frequency Data'!$G$1</c:f>
              <c:strCache>
                <c:ptCount val="1"/>
                <c:pt idx="0">
                  <c:v>Mopt Range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Data'!$G$2:$G$182</c:f>
              <c:numCache>
                <c:formatCode>0.000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1.171664943123061</c:v>
                </c:pt>
                <c:pt idx="40">
                  <c:v>1.171664943123061</c:v>
                </c:pt>
                <c:pt idx="41">
                  <c:v>1.171664943123061</c:v>
                </c:pt>
                <c:pt idx="42">
                  <c:v>1.171664943123061</c:v>
                </c:pt>
                <c:pt idx="43">
                  <c:v>1.171664943123061</c:v>
                </c:pt>
                <c:pt idx="44">
                  <c:v>1.171664943123061</c:v>
                </c:pt>
                <c:pt idx="45">
                  <c:v>1.171664943123061</c:v>
                </c:pt>
                <c:pt idx="46">
                  <c:v>1.171664943123061</c:v>
                </c:pt>
                <c:pt idx="47">
                  <c:v>1.171664943123061</c:v>
                </c:pt>
                <c:pt idx="48">
                  <c:v>1.171664943123061</c:v>
                </c:pt>
                <c:pt idx="49">
                  <c:v>1.171664943123061</c:v>
                </c:pt>
                <c:pt idx="50">
                  <c:v>1.171664943123061</c:v>
                </c:pt>
                <c:pt idx="51">
                  <c:v>1.171664943123061</c:v>
                </c:pt>
                <c:pt idx="52">
                  <c:v>1.171664943123061</c:v>
                </c:pt>
                <c:pt idx="53">
                  <c:v>1.171664943123061</c:v>
                </c:pt>
                <c:pt idx="54">
                  <c:v>1.171664943123061</c:v>
                </c:pt>
                <c:pt idx="55">
                  <c:v>1.171664943123061</c:v>
                </c:pt>
                <c:pt idx="56">
                  <c:v>1.171664943123061</c:v>
                </c:pt>
                <c:pt idx="57">
                  <c:v>1.171664943123061</c:v>
                </c:pt>
                <c:pt idx="58">
                  <c:v>1.171664943123061</c:v>
                </c:pt>
                <c:pt idx="59">
                  <c:v>1.171664943123061</c:v>
                </c:pt>
                <c:pt idx="60">
                  <c:v>1.171664943123061</c:v>
                </c:pt>
                <c:pt idx="61">
                  <c:v>1.171664943123061</c:v>
                </c:pt>
                <c:pt idx="62">
                  <c:v>1.171664943123061</c:v>
                </c:pt>
                <c:pt idx="63">
                  <c:v>1.171664943123061</c:v>
                </c:pt>
                <c:pt idx="64">
                  <c:v>1.171664943123061</c:v>
                </c:pt>
                <c:pt idx="65">
                  <c:v>1.171664943123061</c:v>
                </c:pt>
                <c:pt idx="66">
                  <c:v>1.171664943123061</c:v>
                </c:pt>
                <c:pt idx="67">
                  <c:v>1.171664943123061</c:v>
                </c:pt>
                <c:pt idx="68">
                  <c:v>1.171664943123061</c:v>
                </c:pt>
                <c:pt idx="69">
                  <c:v>1.171664943123061</c:v>
                </c:pt>
                <c:pt idx="70">
                  <c:v>1.171664943123061</c:v>
                </c:pt>
                <c:pt idx="71">
                  <c:v>1.171664943123061</c:v>
                </c:pt>
                <c:pt idx="72">
                  <c:v>1.171664943123061</c:v>
                </c:pt>
                <c:pt idx="73">
                  <c:v>1.171664943123061</c:v>
                </c:pt>
                <c:pt idx="74">
                  <c:v>1.171664943123061</c:v>
                </c:pt>
                <c:pt idx="75">
                  <c:v>1.171664943123061</c:v>
                </c:pt>
                <c:pt idx="76">
                  <c:v>1.171664943123061</c:v>
                </c:pt>
                <c:pt idx="77">
                  <c:v>1.171664943123061</c:v>
                </c:pt>
                <c:pt idx="78">
                  <c:v>1.171664943123061</c:v>
                </c:pt>
                <c:pt idx="79">
                  <c:v>1.171664943123061</c:v>
                </c:pt>
                <c:pt idx="80">
                  <c:v>1.171664943123061</c:v>
                </c:pt>
                <c:pt idx="81">
                  <c:v>1.171664943123061</c:v>
                </c:pt>
                <c:pt idx="82">
                  <c:v>1.171664943123061</c:v>
                </c:pt>
                <c:pt idx="83">
                  <c:v>1.171664943123061</c:v>
                </c:pt>
                <c:pt idx="84">
                  <c:v>1.171664943123061</c:v>
                </c:pt>
                <c:pt idx="85">
                  <c:v>1.171664943123061</c:v>
                </c:pt>
                <c:pt idx="86">
                  <c:v>1.171664943123061</c:v>
                </c:pt>
                <c:pt idx="87">
                  <c:v>1.171664943123061</c:v>
                </c:pt>
                <c:pt idx="88">
                  <c:v>1.171664943123061</c:v>
                </c:pt>
                <c:pt idx="89">
                  <c:v>1.171664943123061</c:v>
                </c:pt>
                <c:pt idx="90">
                  <c:v>1.171664943123061</c:v>
                </c:pt>
                <c:pt idx="91">
                  <c:v>1.171664943123061</c:v>
                </c:pt>
                <c:pt idx="92">
                  <c:v>1.171664943123061</c:v>
                </c:pt>
                <c:pt idx="93">
                  <c:v>1.171664943123061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ser>
          <c:idx val="4"/>
          <c:order val="5"/>
          <c:tx>
            <c:strRef>
              <c:f>'Frequency Data'!$H$1</c:f>
              <c:strCache>
                <c:ptCount val="1"/>
                <c:pt idx="0">
                  <c:v>Mnom 
Range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Data'!$H$2:$H$182</c:f>
              <c:numCache>
                <c:formatCode>0.000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1.171664943123061</c:v>
                </c:pt>
                <c:pt idx="56">
                  <c:v>1.171664943123061</c:v>
                </c:pt>
                <c:pt idx="57">
                  <c:v>1.171664943123061</c:v>
                </c:pt>
                <c:pt idx="58">
                  <c:v>1.171664943123061</c:v>
                </c:pt>
                <c:pt idx="59">
                  <c:v>1.171664943123061</c:v>
                </c:pt>
                <c:pt idx="60">
                  <c:v>1.171664943123061</c:v>
                </c:pt>
                <c:pt idx="61">
                  <c:v>1.171664943123061</c:v>
                </c:pt>
                <c:pt idx="62">
                  <c:v>1.171664943123061</c:v>
                </c:pt>
                <c:pt idx="63">
                  <c:v>1.171664943123061</c:v>
                </c:pt>
                <c:pt idx="64">
                  <c:v>1.171664943123061</c:v>
                </c:pt>
                <c:pt idx="65">
                  <c:v>1.171664943123061</c:v>
                </c:pt>
                <c:pt idx="66">
                  <c:v>1.171664943123061</c:v>
                </c:pt>
                <c:pt idx="67">
                  <c:v>1.171664943123061</c:v>
                </c:pt>
                <c:pt idx="68">
                  <c:v>1.171664943123061</c:v>
                </c:pt>
                <c:pt idx="69">
                  <c:v>1.171664943123061</c:v>
                </c:pt>
                <c:pt idx="70">
                  <c:v>1.171664943123061</c:v>
                </c:pt>
                <c:pt idx="71">
                  <c:v>1.171664943123061</c:v>
                </c:pt>
                <c:pt idx="72">
                  <c:v>1.171664943123061</c:v>
                </c:pt>
                <c:pt idx="73">
                  <c:v>1.171664943123061</c:v>
                </c:pt>
                <c:pt idx="74">
                  <c:v>1.171664943123061</c:v>
                </c:pt>
                <c:pt idx="75">
                  <c:v>1.171664943123061</c:v>
                </c:pt>
                <c:pt idx="76">
                  <c:v>1.171664943123061</c:v>
                </c:pt>
                <c:pt idx="77">
                  <c:v>1.171664943123061</c:v>
                </c:pt>
                <c:pt idx="78">
                  <c:v>1.171664943123061</c:v>
                </c:pt>
                <c:pt idx="79">
                  <c:v>1.171664943123061</c:v>
                </c:pt>
                <c:pt idx="80">
                  <c:v>1.171664943123061</c:v>
                </c:pt>
                <c:pt idx="81">
                  <c:v>1.171664943123061</c:v>
                </c:pt>
                <c:pt idx="82">
                  <c:v>1.171664943123061</c:v>
                </c:pt>
                <c:pt idx="83">
                  <c:v>1.171664943123061</c:v>
                </c:pt>
                <c:pt idx="84">
                  <c:v>1.171664943123061</c:v>
                </c:pt>
                <c:pt idx="85">
                  <c:v>1.171664943123061</c:v>
                </c:pt>
                <c:pt idx="86">
                  <c:v>1.171664943123061</c:v>
                </c:pt>
                <c:pt idx="87">
                  <c:v>1.171664943123061</c:v>
                </c:pt>
                <c:pt idx="88">
                  <c:v>1.171664943123061</c:v>
                </c:pt>
                <c:pt idx="89">
                  <c:v>1.171664943123061</c:v>
                </c:pt>
                <c:pt idx="90">
                  <c:v>1.171664943123061</c:v>
                </c:pt>
                <c:pt idx="91">
                  <c:v>1.171664943123061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71712"/>
        <c:axId val="171973632"/>
      </c:scatterChart>
      <c:valAx>
        <c:axId val="171971712"/>
        <c:scaling>
          <c:logBase val="10"/>
          <c:orientation val="minMax"/>
          <c:max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Normalized operating frequency (f/fr)</a:t>
                </a:r>
              </a:p>
            </c:rich>
          </c:tx>
          <c:layout>
            <c:manualLayout>
              <c:xMode val="edge"/>
              <c:yMode val="edge"/>
              <c:x val="0.18260464500760901"/>
              <c:y val="0.90865668779149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solidFill>
            <a:schemeClr val="tx2">
              <a:lumMod val="20000"/>
              <a:lumOff val="80000"/>
            </a:schemeClr>
          </a:solidFill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973632"/>
        <c:crosses val="autoZero"/>
        <c:crossBetween val="midCat"/>
        <c:majorUnit val="10"/>
        <c:minorUnit val="10"/>
      </c:valAx>
      <c:valAx>
        <c:axId val="171973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2000"/>
                  <a:t>M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1971712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2786273304184124"/>
          <c:y val="2.6376432371081265E-2"/>
          <c:w val="0.26012289730977106"/>
          <c:h val="0.97362356762891877"/>
        </c:manualLayout>
      </c:layout>
      <c:overlay val="1"/>
      <c:spPr>
        <a:solidFill>
          <a:schemeClr val="bg1">
            <a:lumMod val="75000"/>
          </a:schemeClr>
        </a:solidFill>
      </c:spPr>
      <c:txPr>
        <a:bodyPr/>
        <a:lstStyle/>
        <a:p>
          <a:pPr>
            <a:defRPr sz="1200" b="1" baseline="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25400">
      <a:solidFill>
        <a:schemeClr val="tx1"/>
      </a:solidFill>
    </a:ln>
  </c:spPr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Operating  Range</a:t>
            </a:r>
            <a:r>
              <a:rPr lang="en-US" sz="1400" baseline="0"/>
              <a:t> </a:t>
            </a:r>
            <a:r>
              <a:rPr lang="en-US" sz="1400"/>
              <a:t>&amp; LLC gain at different  Loads  </a:t>
            </a:r>
          </a:p>
        </c:rich>
      </c:tx>
      <c:layout>
        <c:manualLayout>
          <c:xMode val="edge"/>
          <c:yMode val="edge"/>
          <c:x val="0.108924372754759"/>
          <c:y val="1.90476190476190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3865425047923403E-2"/>
          <c:y val="0.11800998723233801"/>
          <c:w val="0.70418369817279902"/>
          <c:h val="0.75479184788516696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'Frequency Data'!$B$1</c:f>
              <c:strCache>
                <c:ptCount val="1"/>
                <c:pt idx="0">
                  <c:v>Mmax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Data'!$B$2:$B$182</c:f>
              <c:numCache>
                <c:formatCode>0.000</c:formatCode>
                <c:ptCount val="181"/>
                <c:pt idx="0">
                  <c:v>1.171664943123061</c:v>
                </c:pt>
                <c:pt idx="1">
                  <c:v>1.171664943123061</c:v>
                </c:pt>
                <c:pt idx="2">
                  <c:v>1.171664943123061</c:v>
                </c:pt>
                <c:pt idx="3">
                  <c:v>1.171664943123061</c:v>
                </c:pt>
                <c:pt idx="4">
                  <c:v>1.171664943123061</c:v>
                </c:pt>
                <c:pt idx="5">
                  <c:v>1.171664943123061</c:v>
                </c:pt>
                <c:pt idx="6">
                  <c:v>1.171664943123061</c:v>
                </c:pt>
                <c:pt idx="7">
                  <c:v>1.171664943123061</c:v>
                </c:pt>
                <c:pt idx="8">
                  <c:v>1.171664943123061</c:v>
                </c:pt>
                <c:pt idx="9">
                  <c:v>1.171664943123061</c:v>
                </c:pt>
                <c:pt idx="10">
                  <c:v>1.171664943123061</c:v>
                </c:pt>
                <c:pt idx="11">
                  <c:v>1.171664943123061</c:v>
                </c:pt>
                <c:pt idx="12">
                  <c:v>1.171664943123061</c:v>
                </c:pt>
                <c:pt idx="13">
                  <c:v>1.171664943123061</c:v>
                </c:pt>
                <c:pt idx="14">
                  <c:v>1.171664943123061</c:v>
                </c:pt>
                <c:pt idx="15">
                  <c:v>1.171664943123061</c:v>
                </c:pt>
                <c:pt idx="16">
                  <c:v>1.171664943123061</c:v>
                </c:pt>
                <c:pt idx="17">
                  <c:v>1.171664943123061</c:v>
                </c:pt>
                <c:pt idx="18">
                  <c:v>1.171664943123061</c:v>
                </c:pt>
                <c:pt idx="19">
                  <c:v>1.171664943123061</c:v>
                </c:pt>
                <c:pt idx="20">
                  <c:v>1.171664943123061</c:v>
                </c:pt>
                <c:pt idx="21">
                  <c:v>1.171664943123061</c:v>
                </c:pt>
                <c:pt idx="22">
                  <c:v>1.171664943123061</c:v>
                </c:pt>
                <c:pt idx="23">
                  <c:v>1.171664943123061</c:v>
                </c:pt>
                <c:pt idx="24">
                  <c:v>1.171664943123061</c:v>
                </c:pt>
                <c:pt idx="25">
                  <c:v>1.171664943123061</c:v>
                </c:pt>
                <c:pt idx="26">
                  <c:v>1.171664943123061</c:v>
                </c:pt>
                <c:pt idx="27">
                  <c:v>1.171664943123061</c:v>
                </c:pt>
                <c:pt idx="28">
                  <c:v>1.171664943123061</c:v>
                </c:pt>
                <c:pt idx="29">
                  <c:v>1.171664943123061</c:v>
                </c:pt>
                <c:pt idx="30">
                  <c:v>1.171664943123061</c:v>
                </c:pt>
                <c:pt idx="31">
                  <c:v>1.171664943123061</c:v>
                </c:pt>
                <c:pt idx="32">
                  <c:v>1.171664943123061</c:v>
                </c:pt>
                <c:pt idx="33">
                  <c:v>1.171664943123061</c:v>
                </c:pt>
                <c:pt idx="34">
                  <c:v>1.171664943123061</c:v>
                </c:pt>
                <c:pt idx="35">
                  <c:v>1.171664943123061</c:v>
                </c:pt>
                <c:pt idx="36">
                  <c:v>1.171664943123061</c:v>
                </c:pt>
                <c:pt idx="37">
                  <c:v>1.171664943123061</c:v>
                </c:pt>
                <c:pt idx="38">
                  <c:v>1.171664943123061</c:v>
                </c:pt>
                <c:pt idx="39">
                  <c:v>1.171664943123061</c:v>
                </c:pt>
                <c:pt idx="40">
                  <c:v>1.171664943123061</c:v>
                </c:pt>
                <c:pt idx="41">
                  <c:v>1.171664943123061</c:v>
                </c:pt>
                <c:pt idx="42">
                  <c:v>1.171664943123061</c:v>
                </c:pt>
                <c:pt idx="43">
                  <c:v>1.171664943123061</c:v>
                </c:pt>
                <c:pt idx="44">
                  <c:v>1.171664943123061</c:v>
                </c:pt>
                <c:pt idx="45">
                  <c:v>1.171664943123061</c:v>
                </c:pt>
                <c:pt idx="46">
                  <c:v>1.171664943123061</c:v>
                </c:pt>
                <c:pt idx="47">
                  <c:v>1.171664943123061</c:v>
                </c:pt>
                <c:pt idx="48">
                  <c:v>1.171664943123061</c:v>
                </c:pt>
                <c:pt idx="49">
                  <c:v>1.171664943123061</c:v>
                </c:pt>
                <c:pt idx="50">
                  <c:v>1.171664943123061</c:v>
                </c:pt>
                <c:pt idx="51">
                  <c:v>1.171664943123061</c:v>
                </c:pt>
                <c:pt idx="52">
                  <c:v>1.171664943123061</c:v>
                </c:pt>
                <c:pt idx="53">
                  <c:v>1.171664943123061</c:v>
                </c:pt>
                <c:pt idx="54">
                  <c:v>1.171664943123061</c:v>
                </c:pt>
                <c:pt idx="55">
                  <c:v>1.171664943123061</c:v>
                </c:pt>
                <c:pt idx="56">
                  <c:v>1.171664943123061</c:v>
                </c:pt>
                <c:pt idx="57">
                  <c:v>1.171664943123061</c:v>
                </c:pt>
                <c:pt idx="58">
                  <c:v>1.171664943123061</c:v>
                </c:pt>
                <c:pt idx="59">
                  <c:v>1.171664943123061</c:v>
                </c:pt>
                <c:pt idx="60">
                  <c:v>1.171664943123061</c:v>
                </c:pt>
                <c:pt idx="61">
                  <c:v>1.171664943123061</c:v>
                </c:pt>
                <c:pt idx="62">
                  <c:v>1.171664943123061</c:v>
                </c:pt>
                <c:pt idx="63">
                  <c:v>1.171664943123061</c:v>
                </c:pt>
                <c:pt idx="64">
                  <c:v>1.171664943123061</c:v>
                </c:pt>
                <c:pt idx="65">
                  <c:v>1.171664943123061</c:v>
                </c:pt>
                <c:pt idx="66">
                  <c:v>1.171664943123061</c:v>
                </c:pt>
                <c:pt idx="67">
                  <c:v>1.171664943123061</c:v>
                </c:pt>
                <c:pt idx="68">
                  <c:v>1.171664943123061</c:v>
                </c:pt>
                <c:pt idx="69">
                  <c:v>1.171664943123061</c:v>
                </c:pt>
                <c:pt idx="70">
                  <c:v>1.171664943123061</c:v>
                </c:pt>
                <c:pt idx="71">
                  <c:v>1.171664943123061</c:v>
                </c:pt>
                <c:pt idx="72">
                  <c:v>1.171664943123061</c:v>
                </c:pt>
                <c:pt idx="73">
                  <c:v>1.171664943123061</c:v>
                </c:pt>
                <c:pt idx="74">
                  <c:v>1.171664943123061</c:v>
                </c:pt>
                <c:pt idx="75">
                  <c:v>1.171664943123061</c:v>
                </c:pt>
                <c:pt idx="76">
                  <c:v>1.171664943123061</c:v>
                </c:pt>
                <c:pt idx="77">
                  <c:v>1.171664943123061</c:v>
                </c:pt>
                <c:pt idx="78">
                  <c:v>1.171664943123061</c:v>
                </c:pt>
                <c:pt idx="79">
                  <c:v>1.171664943123061</c:v>
                </c:pt>
                <c:pt idx="80">
                  <c:v>1.171664943123061</c:v>
                </c:pt>
                <c:pt idx="81">
                  <c:v>1.171664943123061</c:v>
                </c:pt>
                <c:pt idx="82">
                  <c:v>1.171664943123061</c:v>
                </c:pt>
                <c:pt idx="83">
                  <c:v>1.171664943123061</c:v>
                </c:pt>
                <c:pt idx="84">
                  <c:v>1.171664943123061</c:v>
                </c:pt>
                <c:pt idx="85">
                  <c:v>1.171664943123061</c:v>
                </c:pt>
                <c:pt idx="86">
                  <c:v>1.171664943123061</c:v>
                </c:pt>
                <c:pt idx="87">
                  <c:v>1.171664943123061</c:v>
                </c:pt>
                <c:pt idx="88">
                  <c:v>1.171664943123061</c:v>
                </c:pt>
                <c:pt idx="89">
                  <c:v>1.171664943123061</c:v>
                </c:pt>
                <c:pt idx="90">
                  <c:v>1.171664943123061</c:v>
                </c:pt>
                <c:pt idx="91">
                  <c:v>1.171664943123061</c:v>
                </c:pt>
                <c:pt idx="92">
                  <c:v>1.171664943123061</c:v>
                </c:pt>
                <c:pt idx="93">
                  <c:v>1.171664943123061</c:v>
                </c:pt>
                <c:pt idx="94">
                  <c:v>1.171664943123061</c:v>
                </c:pt>
                <c:pt idx="95">
                  <c:v>1.171664943123061</c:v>
                </c:pt>
                <c:pt idx="96">
                  <c:v>1.171664943123061</c:v>
                </c:pt>
                <c:pt idx="97">
                  <c:v>1.171664943123061</c:v>
                </c:pt>
                <c:pt idx="98">
                  <c:v>1.171664943123061</c:v>
                </c:pt>
                <c:pt idx="99">
                  <c:v>1.171664943123061</c:v>
                </c:pt>
                <c:pt idx="100">
                  <c:v>1.171664943123061</c:v>
                </c:pt>
                <c:pt idx="101">
                  <c:v>1.171664943123061</c:v>
                </c:pt>
                <c:pt idx="102">
                  <c:v>1.171664943123061</c:v>
                </c:pt>
                <c:pt idx="103">
                  <c:v>1.171664943123061</c:v>
                </c:pt>
                <c:pt idx="104">
                  <c:v>1.171664943123061</c:v>
                </c:pt>
                <c:pt idx="105">
                  <c:v>1.171664943123061</c:v>
                </c:pt>
                <c:pt idx="106">
                  <c:v>1.171664943123061</c:v>
                </c:pt>
                <c:pt idx="107">
                  <c:v>1.171664943123061</c:v>
                </c:pt>
                <c:pt idx="108">
                  <c:v>1.171664943123061</c:v>
                </c:pt>
                <c:pt idx="109">
                  <c:v>1.171664943123061</c:v>
                </c:pt>
                <c:pt idx="110">
                  <c:v>1.171664943123061</c:v>
                </c:pt>
                <c:pt idx="111">
                  <c:v>1.171664943123061</c:v>
                </c:pt>
                <c:pt idx="112">
                  <c:v>1.171664943123061</c:v>
                </c:pt>
                <c:pt idx="113">
                  <c:v>1.171664943123061</c:v>
                </c:pt>
                <c:pt idx="114">
                  <c:v>1.171664943123061</c:v>
                </c:pt>
                <c:pt idx="115">
                  <c:v>1.171664943123061</c:v>
                </c:pt>
                <c:pt idx="116">
                  <c:v>1.171664943123061</c:v>
                </c:pt>
                <c:pt idx="117">
                  <c:v>1.171664943123061</c:v>
                </c:pt>
                <c:pt idx="118">
                  <c:v>1.171664943123061</c:v>
                </c:pt>
                <c:pt idx="119">
                  <c:v>1.171664943123061</c:v>
                </c:pt>
                <c:pt idx="120">
                  <c:v>1.171664943123061</c:v>
                </c:pt>
                <c:pt idx="121">
                  <c:v>1.171664943123061</c:v>
                </c:pt>
                <c:pt idx="122">
                  <c:v>1.171664943123061</c:v>
                </c:pt>
                <c:pt idx="123">
                  <c:v>1.171664943123061</c:v>
                </c:pt>
                <c:pt idx="124">
                  <c:v>1.171664943123061</c:v>
                </c:pt>
                <c:pt idx="125">
                  <c:v>1.171664943123061</c:v>
                </c:pt>
                <c:pt idx="126">
                  <c:v>1.171664943123061</c:v>
                </c:pt>
                <c:pt idx="127">
                  <c:v>1.171664943123061</c:v>
                </c:pt>
                <c:pt idx="128">
                  <c:v>1.171664943123061</c:v>
                </c:pt>
                <c:pt idx="129">
                  <c:v>1.171664943123061</c:v>
                </c:pt>
                <c:pt idx="130">
                  <c:v>1.171664943123061</c:v>
                </c:pt>
                <c:pt idx="131">
                  <c:v>1.171664943123061</c:v>
                </c:pt>
                <c:pt idx="132">
                  <c:v>1.171664943123061</c:v>
                </c:pt>
                <c:pt idx="133">
                  <c:v>1.171664943123061</c:v>
                </c:pt>
                <c:pt idx="134">
                  <c:v>1.171664943123061</c:v>
                </c:pt>
                <c:pt idx="135">
                  <c:v>1.171664943123061</c:v>
                </c:pt>
                <c:pt idx="136">
                  <c:v>1.171664943123061</c:v>
                </c:pt>
                <c:pt idx="137">
                  <c:v>1.171664943123061</c:v>
                </c:pt>
                <c:pt idx="138">
                  <c:v>1.171664943123061</c:v>
                </c:pt>
                <c:pt idx="139">
                  <c:v>1.171664943123061</c:v>
                </c:pt>
                <c:pt idx="140">
                  <c:v>1.171664943123061</c:v>
                </c:pt>
                <c:pt idx="141">
                  <c:v>1.171664943123061</c:v>
                </c:pt>
                <c:pt idx="142">
                  <c:v>1.171664943123061</c:v>
                </c:pt>
                <c:pt idx="143">
                  <c:v>1.171664943123061</c:v>
                </c:pt>
                <c:pt idx="144">
                  <c:v>1.171664943123061</c:v>
                </c:pt>
                <c:pt idx="145">
                  <c:v>1.171664943123061</c:v>
                </c:pt>
                <c:pt idx="146">
                  <c:v>1.171664943123061</c:v>
                </c:pt>
                <c:pt idx="147">
                  <c:v>1.171664943123061</c:v>
                </c:pt>
                <c:pt idx="148">
                  <c:v>1.171664943123061</c:v>
                </c:pt>
                <c:pt idx="149">
                  <c:v>1.171664943123061</c:v>
                </c:pt>
                <c:pt idx="150">
                  <c:v>1.171664943123061</c:v>
                </c:pt>
                <c:pt idx="151">
                  <c:v>1.171664943123061</c:v>
                </c:pt>
                <c:pt idx="152">
                  <c:v>1.171664943123061</c:v>
                </c:pt>
                <c:pt idx="153">
                  <c:v>1.171664943123061</c:v>
                </c:pt>
                <c:pt idx="154">
                  <c:v>1.171664943123061</c:v>
                </c:pt>
                <c:pt idx="155">
                  <c:v>1.171664943123061</c:v>
                </c:pt>
                <c:pt idx="156">
                  <c:v>1.171664943123061</c:v>
                </c:pt>
                <c:pt idx="157">
                  <c:v>1.171664943123061</c:v>
                </c:pt>
                <c:pt idx="158">
                  <c:v>1.171664943123061</c:v>
                </c:pt>
                <c:pt idx="159">
                  <c:v>1.171664943123061</c:v>
                </c:pt>
                <c:pt idx="160">
                  <c:v>1.171664943123061</c:v>
                </c:pt>
                <c:pt idx="161">
                  <c:v>1.171664943123061</c:v>
                </c:pt>
                <c:pt idx="162">
                  <c:v>1.171664943123061</c:v>
                </c:pt>
                <c:pt idx="163">
                  <c:v>1.171664943123061</c:v>
                </c:pt>
                <c:pt idx="164">
                  <c:v>1.171664943123061</c:v>
                </c:pt>
                <c:pt idx="165">
                  <c:v>1.171664943123061</c:v>
                </c:pt>
                <c:pt idx="166">
                  <c:v>1.171664943123061</c:v>
                </c:pt>
                <c:pt idx="167">
                  <c:v>1.171664943123061</c:v>
                </c:pt>
                <c:pt idx="168">
                  <c:v>1.171664943123061</c:v>
                </c:pt>
                <c:pt idx="169">
                  <c:v>1.171664943123061</c:v>
                </c:pt>
                <c:pt idx="170">
                  <c:v>1.171664943123061</c:v>
                </c:pt>
                <c:pt idx="171">
                  <c:v>1.171664943123061</c:v>
                </c:pt>
                <c:pt idx="172">
                  <c:v>1.171664943123061</c:v>
                </c:pt>
                <c:pt idx="173">
                  <c:v>1.171664943123061</c:v>
                </c:pt>
                <c:pt idx="174">
                  <c:v>1.171664943123061</c:v>
                </c:pt>
                <c:pt idx="175">
                  <c:v>1.171664943123061</c:v>
                </c:pt>
                <c:pt idx="176">
                  <c:v>1.171664943123061</c:v>
                </c:pt>
                <c:pt idx="177">
                  <c:v>1.171664943123061</c:v>
                </c:pt>
                <c:pt idx="178">
                  <c:v>1.171664943123061</c:v>
                </c:pt>
                <c:pt idx="179">
                  <c:v>1.171664943123061</c:v>
                </c:pt>
                <c:pt idx="180">
                  <c:v>1.171664943123061</c:v>
                </c:pt>
              </c:numCache>
            </c:numRef>
          </c:yVal>
          <c:smooth val="1"/>
        </c:ser>
        <c:ser>
          <c:idx val="0"/>
          <c:order val="1"/>
          <c:tx>
            <c:strRef>
              <c:f>'Frequency Data'!$D$1</c:f>
              <c:strCache>
                <c:ptCount val="1"/>
                <c:pt idx="0">
                  <c:v>Mnom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Data'!$D$2:$D$182</c:f>
              <c:numCache>
                <c:formatCode>General</c:formatCode>
                <c:ptCount val="181"/>
                <c:pt idx="0">
                  <c:v>5.3765518795701343E-2</c:v>
                </c:pt>
                <c:pt idx="1">
                  <c:v>6.5449932494002605E-2</c:v>
                </c:pt>
                <c:pt idx="2">
                  <c:v>7.840260966098217E-2</c:v>
                </c:pt>
                <c:pt idx="3">
                  <c:v>9.2664700249558724E-2</c:v>
                </c:pt>
                <c:pt idx="4">
                  <c:v>0.10827999607340086</c:v>
                </c:pt>
                <c:pt idx="5">
                  <c:v>0.12529443947462751</c:v>
                </c:pt>
                <c:pt idx="6">
                  <c:v>0.14375547040175465</c:v>
                </c:pt>
                <c:pt idx="7">
                  <c:v>0.1637111742821537</c:v>
                </c:pt>
                <c:pt idx="8">
                  <c:v>0.18520918812185502</c:v>
                </c:pt>
                <c:pt idx="9">
                  <c:v>0.20829531807727367</c:v>
                </c:pt>
                <c:pt idx="10">
                  <c:v>0.23301181920741557</c:v>
                </c:pt>
                <c:pt idx="11">
                  <c:v>0.25939528849903848</c:v>
                </c:pt>
                <c:pt idx="12">
                  <c:v>0.2874741272764812</c:v>
                </c:pt>
                <c:pt idx="13">
                  <c:v>0.31726554095631593</c:v>
                </c:pt>
                <c:pt idx="14">
                  <c:v>0.3487720654049824</c:v>
                </c:pt>
                <c:pt idx="15">
                  <c:v>0.38197764275281382</c:v>
                </c:pt>
                <c:pt idx="16">
                  <c:v>0.4168433180582109</c:v>
                </c:pt>
                <c:pt idx="17">
                  <c:v>0.45330269341068069</c:v>
                </c:pt>
                <c:pt idx="18">
                  <c:v>0.49125735757937972</c:v>
                </c:pt>
                <c:pt idx="19">
                  <c:v>0.53057260335181933</c:v>
                </c:pt>
                <c:pt idx="20">
                  <c:v>0.57107384244034864</c:v>
                </c:pt>
                <c:pt idx="21">
                  <c:v>0.6125442142038533</c:v>
                </c:pt>
                <c:pt idx="22">
                  <c:v>0.65472393802532558</c:v>
                </c:pt>
                <c:pt idx="23">
                  <c:v>0.69731195413638147</c:v>
                </c:pt>
                <c:pt idx="24">
                  <c:v>0.73997030840113853</c:v>
                </c:pt>
                <c:pt idx="25">
                  <c:v>0.78233154543392636</c:v>
                </c:pt>
                <c:pt idx="26">
                  <c:v>0.82400908114177041</c:v>
                </c:pt>
                <c:pt idx="27">
                  <c:v>0.86461015557522591</c:v>
                </c:pt>
                <c:pt idx="28">
                  <c:v>0.90375057333235509</c:v>
                </c:pt>
                <c:pt idx="29">
                  <c:v>0.9410700969978657</c:v>
                </c:pt>
                <c:pt idx="30">
                  <c:v>0.97624714959923586</c:v>
                </c:pt>
                <c:pt idx="31">
                  <c:v>1.0090114668794365</c:v>
                </c:pt>
                <c:pt idx="32">
                  <c:v>1.0391535410409913</c:v>
                </c:pt>
                <c:pt idx="33">
                  <c:v>1.0665300847498098</c:v>
                </c:pt>
                <c:pt idx="34">
                  <c:v>1.091065242086865</c:v>
                </c:pt>
                <c:pt idx="35">
                  <c:v>1.1127477819763609</c:v>
                </c:pt>
                <c:pt idx="36">
                  <c:v>1.1316249341639497</c:v>
                </c:pt>
                <c:pt idx="37">
                  <c:v>1.1477938025188332</c:v>
                </c:pt>
                <c:pt idx="38">
                  <c:v>1.1613913920676902</c:v>
                </c:pt>
                <c:pt idx="39">
                  <c:v>1.1725842316677446</c:v>
                </c:pt>
                <c:pt idx="40">
                  <c:v>1.1815584075407735</c:v>
                </c:pt>
                <c:pt idx="41">
                  <c:v>1.1885105978785839</c:v>
                </c:pt>
                <c:pt idx="42">
                  <c:v>1.1936404644751171</c:v>
                </c:pt>
                <c:pt idx="43">
                  <c:v>1.1971445493877741</c:v>
                </c:pt>
                <c:pt idx="44">
                  <c:v>1.1992116625067226</c:v>
                </c:pt>
                <c:pt idx="45">
                  <c:v>1.2000196351829018</c:v>
                </c:pt>
                <c:pt idx="46">
                  <c:v>1.1997332516040351</c:v>
                </c:pt>
                <c:pt idx="47">
                  <c:v>1.1985031440984477</c:v>
                </c:pt>
                <c:pt idx="48">
                  <c:v>1.1964654401085941</c:v>
                </c:pt>
                <c:pt idx="49">
                  <c:v>1.193741967106116</c:v>
                </c:pt>
                <c:pt idx="50">
                  <c:v>1.1904408490597926</c:v>
                </c:pt>
                <c:pt idx="51">
                  <c:v>1.1866573583215714</c:v>
                </c:pt>
                <c:pt idx="52">
                  <c:v>1.1824749161434116</c:v>
                </c:pt>
                <c:pt idx="53">
                  <c:v>1.1779661613168049</c:v>
                </c:pt>
                <c:pt idx="54">
                  <c:v>1.1731940286707774</c:v>
                </c:pt>
                <c:pt idx="55">
                  <c:v>1.1682127971889409</c:v>
                </c:pt>
                <c:pt idx="56">
                  <c:v>1.1630690815874918</c:v>
                </c:pt>
                <c:pt idx="57">
                  <c:v>1.1578027518390175</c:v>
                </c:pt>
                <c:pt idx="58">
                  <c:v>1.1524477729152869</c:v>
                </c:pt>
                <c:pt idx="59">
                  <c:v>1.1470329625282123</c:v>
                </c:pt>
                <c:pt idx="60">
                  <c:v>1.141582668385607</c:v>
                </c:pt>
                <c:pt idx="61">
                  <c:v>1.1361173688826904</c:v>
                </c:pt>
                <c:pt idx="62">
                  <c:v>1.1306542025758695</c:v>
                </c:pt>
                <c:pt idx="63">
                  <c:v>1.1252074325114962</c:v>
                </c:pt>
                <c:pt idx="64">
                  <c:v>1.119788851723474</c:v>
                </c:pt>
                <c:pt idx="65">
                  <c:v>1.1144081361306861</c:v>
                </c:pt>
                <c:pt idx="66">
                  <c:v>1.1090731507763734</c:v>
                </c:pt>
                <c:pt idx="67">
                  <c:v>1.1037902149415872</c:v>
                </c:pt>
                <c:pt idx="68">
                  <c:v>1.0985643311932931</c:v>
                </c:pt>
                <c:pt idx="69">
                  <c:v>1.0933993829351534</c:v>
                </c:pt>
                <c:pt idx="70">
                  <c:v>1.0882983045423194</c:v>
                </c:pt>
                <c:pt idx="71">
                  <c:v>1.083263227697481</c:v>
                </c:pt>
                <c:pt idx="72">
                  <c:v>1.0782956071137308</c:v>
                </c:pt>
                <c:pt idx="73">
                  <c:v>1.0733963284353685</c:v>
                </c:pt>
                <c:pt idx="74">
                  <c:v>1.0685658007522318</c:v>
                </c:pt>
                <c:pt idx="75">
                  <c:v>1.0638040358459033</c:v>
                </c:pt>
                <c:pt idx="76">
                  <c:v>1.0591107160053923</c:v>
                </c:pt>
                <c:pt idx="77">
                  <c:v>1.0544852520029837</c:v>
                </c:pt>
                <c:pt idx="78">
                  <c:v>1.0499268326048992</c:v>
                </c:pt>
                <c:pt idx="79">
                  <c:v>1.0454344668031308</c:v>
                </c:pt>
                <c:pt idx="80">
                  <c:v>1.0410070197912589</c:v>
                </c:pt>
                <c:pt idx="81">
                  <c:v>1.036643243565343</c:v>
                </c:pt>
                <c:pt idx="82">
                  <c:v>1.0323418029084452</c:v>
                </c:pt>
                <c:pt idx="83">
                  <c:v>1.0281012974115638</c:v>
                </c:pt>
                <c:pt idx="84">
                  <c:v>1.023920280092546</c:v>
                </c:pt>
                <c:pt idx="85">
                  <c:v>1.0197972730959972</c:v>
                </c:pt>
                <c:pt idx="86">
                  <c:v>1.0157307808895795</c:v>
                </c:pt>
                <c:pt idx="87">
                  <c:v>1.0117193013139256</c:v>
                </c:pt>
                <c:pt idx="88">
                  <c:v>1.00776133479337</c:v>
                </c:pt>
                <c:pt idx="89">
                  <c:v>1.0038553919716802</c:v>
                </c:pt>
                <c:pt idx="90">
                  <c:v>1</c:v>
                </c:pt>
                <c:pt idx="91">
                  <c:v>0.96392191940185379</c:v>
                </c:pt>
                <c:pt idx="92">
                  <c:v>0.93150982874753041</c:v>
                </c:pt>
                <c:pt idx="93">
                  <c:v>0.90183902081413769</c:v>
                </c:pt>
                <c:pt idx="94">
                  <c:v>0.87427409630169461</c:v>
                </c:pt>
                <c:pt idx="95">
                  <c:v>0.84838580735413416</c:v>
                </c:pt>
                <c:pt idx="96">
                  <c:v>0.82388391154210228</c:v>
                </c:pt>
                <c:pt idx="97">
                  <c:v>0.80057006936277375</c:v>
                </c:pt>
                <c:pt idx="98">
                  <c:v>0.77830624827594064</c:v>
                </c:pt>
                <c:pt idx="99">
                  <c:v>0.75699385799053864</c:v>
                </c:pt>
                <c:pt idx="100">
                  <c:v>0.73656004910758022</c:v>
                </c:pt>
                <c:pt idx="101">
                  <c:v>0.71694873937492432</c:v>
                </c:pt>
                <c:pt idx="102">
                  <c:v>0.69811475262868228</c:v>
                </c:pt>
                <c:pt idx="103">
                  <c:v>0.68002000805243856</c:v>
                </c:pt>
                <c:pt idx="104">
                  <c:v>0.66263106061030386</c:v>
                </c:pt>
                <c:pt idx="105">
                  <c:v>0.64591753109240324</c:v>
                </c:pt>
                <c:pt idx="106">
                  <c:v>0.62985112001492072</c:v>
                </c:pt>
                <c:pt idx="107">
                  <c:v>0.61440500233344131</c:v>
                </c:pt>
                <c:pt idx="108">
                  <c:v>0.59955346803384668</c:v>
                </c:pt>
                <c:pt idx="109">
                  <c:v>0.58527171904692799</c:v>
                </c:pt>
                <c:pt idx="110">
                  <c:v>0.57153576328363931</c:v>
                </c:pt>
                <c:pt idx="111">
                  <c:v>0.55832236692706472</c:v>
                </c:pt>
                <c:pt idx="112">
                  <c:v>0.54560903974938157</c:v>
                </c:pt>
                <c:pt idx="113">
                  <c:v>0.53337403734152544</c:v>
                </c:pt>
                <c:pt idx="114">
                  <c:v>0.52159637021755612</c:v>
                </c:pt>
                <c:pt idx="115">
                  <c:v>0.51025581377265772</c:v>
                </c:pt>
                <c:pt idx="116">
                  <c:v>0.49933291570123484</c:v>
                </c:pt>
                <c:pt idx="117">
                  <c:v>0.48880899917297216</c:v>
                </c:pt>
                <c:pt idx="118">
                  <c:v>0.47866616112815846</c:v>
                </c:pt>
                <c:pt idx="119">
                  <c:v>0.46888726569869965</c:v>
                </c:pt>
                <c:pt idx="120">
                  <c:v>0.4594559331305671</c:v>
                </c:pt>
                <c:pt idx="121">
                  <c:v>0.45035652477355709</c:v>
                </c:pt>
                <c:pt idx="122">
                  <c:v>0.44157412478043018</c:v>
                </c:pt>
                <c:pt idx="123">
                  <c:v>0.43309451916347957</c:v>
                </c:pt>
                <c:pt idx="124">
                  <c:v>0.42490417282142862</c:v>
                </c:pt>
                <c:pt idx="125">
                  <c:v>0.4169902050923453</c:v>
                </c:pt>
                <c:pt idx="126">
                  <c:v>0.40934036432122489</c:v>
                </c:pt>
                <c:pt idx="127">
                  <c:v>0.40194300186173421</c:v>
                </c:pt>
                <c:pt idx="128">
                  <c:v>0.39478704586492036</c:v>
                </c:pt>
                <c:pt idx="129">
                  <c:v>0.38786197514604465</c:v>
                </c:pt>
                <c:pt idx="130">
                  <c:v>0.38115779336537015</c:v>
                </c:pt>
                <c:pt idx="131">
                  <c:v>0.37466500371011507</c:v>
                </c:pt>
                <c:pt idx="132">
                  <c:v>0.36837458422280034</c:v>
                </c:pt>
                <c:pt idx="133">
                  <c:v>0.36227796388545469</c:v>
                </c:pt>
                <c:pt idx="134">
                  <c:v>0.35636699953905743</c:v>
                </c:pt>
                <c:pt idx="135">
                  <c:v>0.35063395369257233</c:v>
                </c:pt>
                <c:pt idx="136">
                  <c:v>0.34507147325532689</c:v>
                </c:pt>
                <c:pt idx="137">
                  <c:v>0.33967256920972649</c:v>
                </c:pt>
                <c:pt idx="138">
                  <c:v>0.33443059722781104</c:v>
                </c:pt>
                <c:pt idx="139">
                  <c:v>0.32933923922444736</c:v>
                </c:pt>
                <c:pt idx="140">
                  <c:v>0.32439248583158475</c:v>
                </c:pt>
                <c:pt idx="141">
                  <c:v>0.31958461977157548</c:v>
                </c:pt>
                <c:pt idx="142">
                  <c:v>0.31491020010275789</c:v>
                </c:pt>
                <c:pt idx="143">
                  <c:v>0.31036404730702183</c:v>
                </c:pt>
                <c:pt idx="144">
                  <c:v>0.30594122918668432</c:v>
                </c:pt>
                <c:pt idx="145">
                  <c:v>0.30163704753649534</c:v>
                </c:pt>
                <c:pt idx="146">
                  <c:v>0.29744702555579161</c:v>
                </c:pt>
                <c:pt idx="147">
                  <c:v>0.29336689596556731</c:v>
                </c:pt>
                <c:pt idx="148">
                  <c:v>0.28939258979545912</c:v>
                </c:pt>
                <c:pt idx="149">
                  <c:v>0.28552022580616232</c:v>
                </c:pt>
                <c:pt idx="150">
                  <c:v>0.28174610051362547</c:v>
                </c:pt>
                <c:pt idx="151">
                  <c:v>0.27806667878237801</c:v>
                </c:pt>
                <c:pt idx="152">
                  <c:v>0.27447858495647898</c:v>
                </c:pt>
                <c:pt idx="153">
                  <c:v>0.27097859449784084</c:v>
                </c:pt>
                <c:pt idx="154">
                  <c:v>0.26756362610295897</c:v>
                </c:pt>
                <c:pt idx="155">
                  <c:v>0.26423073427044724</c:v>
                </c:pt>
                <c:pt idx="156">
                  <c:v>0.26097710229310017</c:v>
                </c:pt>
                <c:pt idx="157">
                  <c:v>0.25780003564955917</c:v>
                </c:pt>
                <c:pt idx="158">
                  <c:v>0.25469695577196871</c:v>
                </c:pt>
                <c:pt idx="159">
                  <c:v>0.25166539416729988</c:v>
                </c:pt>
                <c:pt idx="160">
                  <c:v>0.24870298687126435</c:v>
                </c:pt>
                <c:pt idx="161">
                  <c:v>0.24580746921494129</c:v>
                </c:pt>
                <c:pt idx="162">
                  <c:v>0.24297667088539718</c:v>
                </c:pt>
                <c:pt idx="163">
                  <c:v>0.2402085112626775</c:v>
                </c:pt>
                <c:pt idx="164">
                  <c:v>0.23750099501660071</c:v>
                </c:pt>
                <c:pt idx="165">
                  <c:v>0.23485220794778136</c:v>
                </c:pt>
                <c:pt idx="166">
                  <c:v>0.23226031305825698</c:v>
                </c:pt>
                <c:pt idx="167">
                  <c:v>0.22972354683798363</c:v>
                </c:pt>
                <c:pt idx="168">
                  <c:v>0.227240215754313</c:v>
                </c:pt>
                <c:pt idx="169">
                  <c:v>0.22480869293235711</c:v>
                </c:pt>
                <c:pt idx="170">
                  <c:v>0.22242741501489641</c:v>
                </c:pt>
                <c:pt idx="171">
                  <c:v>0.22009487919119256</c:v>
                </c:pt>
                <c:pt idx="172">
                  <c:v>0.21780964038472778</c:v>
                </c:pt>
                <c:pt idx="173">
                  <c:v>0.21557030859051518</c:v>
                </c:pt>
                <c:pt idx="174">
                  <c:v>0.21337554635320566</c:v>
                </c:pt>
                <c:pt idx="175">
                  <c:v>0.21122406637776714</c:v>
                </c:pt>
                <c:pt idx="176">
                  <c:v>0.20911462926501895</c:v>
                </c:pt>
                <c:pt idx="177">
                  <c:v>0.20704604136478827</c:v>
                </c:pt>
                <c:pt idx="178">
                  <c:v>0.20501715273990359</c:v>
                </c:pt>
                <c:pt idx="179">
                  <c:v>0.20302685523465872</c:v>
                </c:pt>
                <c:pt idx="180">
                  <c:v>0.20107408064177837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'Frequency Data'!$E$1</c:f>
              <c:strCache>
                <c:ptCount val="1"/>
                <c:pt idx="0">
                  <c:v>Mmin</c:v>
                </c:pt>
              </c:strCache>
            </c:strRef>
          </c:tx>
          <c:spPr>
            <a:ln>
              <a:solidFill>
                <a:srgbClr val="00FF00"/>
              </a:solidFill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Data'!$E$2:$E$182</c:f>
              <c:numCache>
                <c:formatCode>0.000</c:formatCode>
                <c:ptCount val="181"/>
                <c:pt idx="0">
                  <c:v>0.94069505396750086</c:v>
                </c:pt>
                <c:pt idx="1">
                  <c:v>0.94069505396750086</c:v>
                </c:pt>
                <c:pt idx="2">
                  <c:v>0.94069505396750086</c:v>
                </c:pt>
                <c:pt idx="3">
                  <c:v>0.94069505396750086</c:v>
                </c:pt>
                <c:pt idx="4">
                  <c:v>0.94069505396750086</c:v>
                </c:pt>
                <c:pt idx="5">
                  <c:v>0.94069505396750086</c:v>
                </c:pt>
                <c:pt idx="6">
                  <c:v>0.94069505396750086</c:v>
                </c:pt>
                <c:pt idx="7">
                  <c:v>0.94069505396750086</c:v>
                </c:pt>
                <c:pt idx="8">
                  <c:v>0.94069505396750086</c:v>
                </c:pt>
                <c:pt idx="9">
                  <c:v>0.94069505396750086</c:v>
                </c:pt>
                <c:pt idx="10">
                  <c:v>0.94069505396750086</c:v>
                </c:pt>
                <c:pt idx="11">
                  <c:v>0.94069505396750086</c:v>
                </c:pt>
                <c:pt idx="12">
                  <c:v>0.94069505396750086</c:v>
                </c:pt>
                <c:pt idx="13">
                  <c:v>0.94069505396750086</c:v>
                </c:pt>
                <c:pt idx="14">
                  <c:v>0.94069505396750086</c:v>
                </c:pt>
                <c:pt idx="15">
                  <c:v>0.94069505396750086</c:v>
                </c:pt>
                <c:pt idx="16">
                  <c:v>0.94069505396750086</c:v>
                </c:pt>
                <c:pt idx="17">
                  <c:v>0.94069505396750086</c:v>
                </c:pt>
                <c:pt idx="18">
                  <c:v>0.94069505396750086</c:v>
                </c:pt>
                <c:pt idx="19">
                  <c:v>0.94069505396750086</c:v>
                </c:pt>
                <c:pt idx="20">
                  <c:v>0.94069505396750086</c:v>
                </c:pt>
                <c:pt idx="21">
                  <c:v>0.94069505396750086</c:v>
                </c:pt>
                <c:pt idx="22">
                  <c:v>0.94069505396750086</c:v>
                </c:pt>
                <c:pt idx="23">
                  <c:v>0.94069505396750086</c:v>
                </c:pt>
                <c:pt idx="24">
                  <c:v>0.94069505396750086</c:v>
                </c:pt>
                <c:pt idx="25">
                  <c:v>0.94069505396750086</c:v>
                </c:pt>
                <c:pt idx="26">
                  <c:v>0.94069505396750086</c:v>
                </c:pt>
                <c:pt idx="27">
                  <c:v>0.94069505396750086</c:v>
                </c:pt>
                <c:pt idx="28">
                  <c:v>0.94069505396750086</c:v>
                </c:pt>
                <c:pt idx="29">
                  <c:v>0.94069505396750086</c:v>
                </c:pt>
                <c:pt idx="30">
                  <c:v>0.94069505396750086</c:v>
                </c:pt>
                <c:pt idx="31">
                  <c:v>0.94069505396750086</c:v>
                </c:pt>
                <c:pt idx="32">
                  <c:v>0.94069505396750086</c:v>
                </c:pt>
                <c:pt idx="33">
                  <c:v>0.94069505396750086</c:v>
                </c:pt>
                <c:pt idx="34">
                  <c:v>0.94069505396750086</c:v>
                </c:pt>
                <c:pt idx="35">
                  <c:v>0.94069505396750086</c:v>
                </c:pt>
                <c:pt idx="36">
                  <c:v>0.94069505396750086</c:v>
                </c:pt>
                <c:pt idx="37">
                  <c:v>0.94069505396750086</c:v>
                </c:pt>
                <c:pt idx="38">
                  <c:v>0.94069505396750086</c:v>
                </c:pt>
                <c:pt idx="39">
                  <c:v>0.94069505396750086</c:v>
                </c:pt>
                <c:pt idx="40">
                  <c:v>0.94069505396750086</c:v>
                </c:pt>
                <c:pt idx="41">
                  <c:v>0.94069505396750086</c:v>
                </c:pt>
                <c:pt idx="42">
                  <c:v>0.94069505396750086</c:v>
                </c:pt>
                <c:pt idx="43">
                  <c:v>0.94069505396750086</c:v>
                </c:pt>
                <c:pt idx="44">
                  <c:v>0.94069505396750086</c:v>
                </c:pt>
                <c:pt idx="45">
                  <c:v>0.94069505396750086</c:v>
                </c:pt>
                <c:pt idx="46">
                  <c:v>0.94069505396750086</c:v>
                </c:pt>
                <c:pt idx="47">
                  <c:v>0.94069505396750086</c:v>
                </c:pt>
                <c:pt idx="48">
                  <c:v>0.94069505396750086</c:v>
                </c:pt>
                <c:pt idx="49">
                  <c:v>0.94069505396750086</c:v>
                </c:pt>
                <c:pt idx="50">
                  <c:v>0.94069505396750086</c:v>
                </c:pt>
                <c:pt idx="51">
                  <c:v>0.94069505396750086</c:v>
                </c:pt>
                <c:pt idx="52">
                  <c:v>0.94069505396750086</c:v>
                </c:pt>
                <c:pt idx="53">
                  <c:v>0.94069505396750086</c:v>
                </c:pt>
                <c:pt idx="54">
                  <c:v>0.94069505396750086</c:v>
                </c:pt>
                <c:pt idx="55">
                  <c:v>0.94069505396750086</c:v>
                </c:pt>
                <c:pt idx="56">
                  <c:v>0.94069505396750086</c:v>
                </c:pt>
                <c:pt idx="57">
                  <c:v>0.94069505396750086</c:v>
                </c:pt>
                <c:pt idx="58">
                  <c:v>0.94069505396750086</c:v>
                </c:pt>
                <c:pt idx="59">
                  <c:v>0.94069505396750086</c:v>
                </c:pt>
                <c:pt idx="60">
                  <c:v>0.94069505396750086</c:v>
                </c:pt>
                <c:pt idx="61">
                  <c:v>0.94069505396750086</c:v>
                </c:pt>
                <c:pt idx="62">
                  <c:v>0.94069505396750086</c:v>
                </c:pt>
                <c:pt idx="63">
                  <c:v>0.94069505396750086</c:v>
                </c:pt>
                <c:pt idx="64">
                  <c:v>0.94069505396750086</c:v>
                </c:pt>
                <c:pt idx="65">
                  <c:v>0.94069505396750086</c:v>
                </c:pt>
                <c:pt idx="66">
                  <c:v>0.94069505396750086</c:v>
                </c:pt>
                <c:pt idx="67">
                  <c:v>0.94069505396750086</c:v>
                </c:pt>
                <c:pt idx="68">
                  <c:v>0.94069505396750086</c:v>
                </c:pt>
                <c:pt idx="69">
                  <c:v>0.94069505396750086</c:v>
                </c:pt>
                <c:pt idx="70">
                  <c:v>0.94069505396750086</c:v>
                </c:pt>
                <c:pt idx="71">
                  <c:v>0.94069505396750086</c:v>
                </c:pt>
                <c:pt idx="72">
                  <c:v>0.94069505396750086</c:v>
                </c:pt>
                <c:pt idx="73">
                  <c:v>0.94069505396750086</c:v>
                </c:pt>
                <c:pt idx="74">
                  <c:v>0.94069505396750086</c:v>
                </c:pt>
                <c:pt idx="75">
                  <c:v>0.94069505396750086</c:v>
                </c:pt>
                <c:pt idx="76">
                  <c:v>0.94069505396750086</c:v>
                </c:pt>
                <c:pt idx="77">
                  <c:v>0.94069505396750086</c:v>
                </c:pt>
                <c:pt idx="78">
                  <c:v>0.94069505396750086</c:v>
                </c:pt>
                <c:pt idx="79">
                  <c:v>0.94069505396750086</c:v>
                </c:pt>
                <c:pt idx="80">
                  <c:v>0.94069505396750086</c:v>
                </c:pt>
                <c:pt idx="81">
                  <c:v>0.94069505396750086</c:v>
                </c:pt>
                <c:pt idx="82">
                  <c:v>0.94069505396750086</c:v>
                </c:pt>
                <c:pt idx="83">
                  <c:v>0.94069505396750086</c:v>
                </c:pt>
                <c:pt idx="84">
                  <c:v>0.94069505396750086</c:v>
                </c:pt>
                <c:pt idx="85">
                  <c:v>0.94069505396750086</c:v>
                </c:pt>
                <c:pt idx="86">
                  <c:v>0.94069505396750086</c:v>
                </c:pt>
                <c:pt idx="87">
                  <c:v>0.94069505396750086</c:v>
                </c:pt>
                <c:pt idx="88">
                  <c:v>0.94069505396750086</c:v>
                </c:pt>
                <c:pt idx="89">
                  <c:v>0.94069505396750086</c:v>
                </c:pt>
                <c:pt idx="90">
                  <c:v>0.94069505396750086</c:v>
                </c:pt>
                <c:pt idx="91">
                  <c:v>0.94069505396750086</c:v>
                </c:pt>
                <c:pt idx="92">
                  <c:v>0.94069505396750086</c:v>
                </c:pt>
                <c:pt idx="93">
                  <c:v>0.94069505396750086</c:v>
                </c:pt>
                <c:pt idx="94">
                  <c:v>0.94069505396750086</c:v>
                </c:pt>
                <c:pt idx="95">
                  <c:v>0.94069505396750086</c:v>
                </c:pt>
                <c:pt idx="96">
                  <c:v>0.94069505396750086</c:v>
                </c:pt>
                <c:pt idx="97">
                  <c:v>0.94069505396750086</c:v>
                </c:pt>
                <c:pt idx="98">
                  <c:v>0.94069505396750086</c:v>
                </c:pt>
                <c:pt idx="99">
                  <c:v>0.94069505396750086</c:v>
                </c:pt>
                <c:pt idx="100">
                  <c:v>0.94069505396750086</c:v>
                </c:pt>
                <c:pt idx="101">
                  <c:v>0.94069505396750086</c:v>
                </c:pt>
                <c:pt idx="102">
                  <c:v>0.94069505396750086</c:v>
                </c:pt>
                <c:pt idx="103">
                  <c:v>0.94069505396750086</c:v>
                </c:pt>
                <c:pt idx="104">
                  <c:v>0.94069505396750086</c:v>
                </c:pt>
                <c:pt idx="105">
                  <c:v>0.94069505396750086</c:v>
                </c:pt>
                <c:pt idx="106">
                  <c:v>0.94069505396750086</c:v>
                </c:pt>
                <c:pt idx="107">
                  <c:v>0.94069505396750086</c:v>
                </c:pt>
                <c:pt idx="108">
                  <c:v>0.94069505396750086</c:v>
                </c:pt>
                <c:pt idx="109">
                  <c:v>0.94069505396750086</c:v>
                </c:pt>
                <c:pt idx="110">
                  <c:v>0.94069505396750086</c:v>
                </c:pt>
                <c:pt idx="111">
                  <c:v>0.94069505396750086</c:v>
                </c:pt>
                <c:pt idx="112">
                  <c:v>0.94069505396750086</c:v>
                </c:pt>
                <c:pt idx="113">
                  <c:v>0.94069505396750086</c:v>
                </c:pt>
                <c:pt idx="114">
                  <c:v>0.94069505396750086</c:v>
                </c:pt>
                <c:pt idx="115">
                  <c:v>0.94069505396750086</c:v>
                </c:pt>
                <c:pt idx="116">
                  <c:v>0.94069505396750086</c:v>
                </c:pt>
                <c:pt idx="117">
                  <c:v>0.94069505396750086</c:v>
                </c:pt>
                <c:pt idx="118">
                  <c:v>0.94069505396750086</c:v>
                </c:pt>
                <c:pt idx="119">
                  <c:v>0.94069505396750086</c:v>
                </c:pt>
                <c:pt idx="120">
                  <c:v>0.94069505396750086</c:v>
                </c:pt>
                <c:pt idx="121">
                  <c:v>0.94069505396750086</c:v>
                </c:pt>
                <c:pt idx="122">
                  <c:v>0.94069505396750086</c:v>
                </c:pt>
                <c:pt idx="123">
                  <c:v>0.94069505396750086</c:v>
                </c:pt>
                <c:pt idx="124">
                  <c:v>0.94069505396750086</c:v>
                </c:pt>
                <c:pt idx="125">
                  <c:v>0.94069505396750086</c:v>
                </c:pt>
                <c:pt idx="126">
                  <c:v>0.94069505396750086</c:v>
                </c:pt>
                <c:pt idx="127">
                  <c:v>0.94069505396750086</c:v>
                </c:pt>
                <c:pt idx="128">
                  <c:v>0.94069505396750086</c:v>
                </c:pt>
                <c:pt idx="129">
                  <c:v>0.94069505396750086</c:v>
                </c:pt>
                <c:pt idx="130">
                  <c:v>0.94069505396750086</c:v>
                </c:pt>
                <c:pt idx="131">
                  <c:v>0.94069505396750086</c:v>
                </c:pt>
                <c:pt idx="132">
                  <c:v>0.94069505396750086</c:v>
                </c:pt>
                <c:pt idx="133">
                  <c:v>0.94069505396750086</c:v>
                </c:pt>
                <c:pt idx="134">
                  <c:v>0.94069505396750086</c:v>
                </c:pt>
                <c:pt idx="135">
                  <c:v>0.94069505396750086</c:v>
                </c:pt>
                <c:pt idx="136">
                  <c:v>0.94069505396750086</c:v>
                </c:pt>
                <c:pt idx="137">
                  <c:v>0.94069505396750086</c:v>
                </c:pt>
                <c:pt idx="138">
                  <c:v>0.94069505396750086</c:v>
                </c:pt>
                <c:pt idx="139">
                  <c:v>0.94069505396750086</c:v>
                </c:pt>
                <c:pt idx="140">
                  <c:v>0.94069505396750086</c:v>
                </c:pt>
                <c:pt idx="141">
                  <c:v>0.94069505396750086</c:v>
                </c:pt>
                <c:pt idx="142">
                  <c:v>0.94069505396750086</c:v>
                </c:pt>
                <c:pt idx="143">
                  <c:v>0.94069505396750086</c:v>
                </c:pt>
                <c:pt idx="144">
                  <c:v>0.94069505396750086</c:v>
                </c:pt>
                <c:pt idx="145">
                  <c:v>0.94069505396750086</c:v>
                </c:pt>
                <c:pt idx="146">
                  <c:v>0.94069505396750086</c:v>
                </c:pt>
                <c:pt idx="147">
                  <c:v>0.94069505396750086</c:v>
                </c:pt>
                <c:pt idx="148">
                  <c:v>0.94069505396750086</c:v>
                </c:pt>
                <c:pt idx="149">
                  <c:v>0.94069505396750086</c:v>
                </c:pt>
                <c:pt idx="150">
                  <c:v>0.94069505396750086</c:v>
                </c:pt>
                <c:pt idx="151">
                  <c:v>0.94069505396750086</c:v>
                </c:pt>
                <c:pt idx="152">
                  <c:v>0.94069505396750086</c:v>
                </c:pt>
                <c:pt idx="153">
                  <c:v>0.94069505396750086</c:v>
                </c:pt>
                <c:pt idx="154">
                  <c:v>0.94069505396750086</c:v>
                </c:pt>
                <c:pt idx="155">
                  <c:v>0.94069505396750086</c:v>
                </c:pt>
                <c:pt idx="156">
                  <c:v>0.94069505396750086</c:v>
                </c:pt>
                <c:pt idx="157">
                  <c:v>0.94069505396750086</c:v>
                </c:pt>
                <c:pt idx="158">
                  <c:v>0.94069505396750086</c:v>
                </c:pt>
                <c:pt idx="159">
                  <c:v>0.94069505396750086</c:v>
                </c:pt>
                <c:pt idx="160">
                  <c:v>0.94069505396750086</c:v>
                </c:pt>
                <c:pt idx="161">
                  <c:v>0.94069505396750086</c:v>
                </c:pt>
                <c:pt idx="162">
                  <c:v>0.94069505396750086</c:v>
                </c:pt>
                <c:pt idx="163">
                  <c:v>0.94069505396750086</c:v>
                </c:pt>
                <c:pt idx="164">
                  <c:v>0.94069505396750086</c:v>
                </c:pt>
                <c:pt idx="165">
                  <c:v>0.94069505396750086</c:v>
                </c:pt>
                <c:pt idx="166">
                  <c:v>0.94069505396750086</c:v>
                </c:pt>
                <c:pt idx="167">
                  <c:v>0.94069505396750086</c:v>
                </c:pt>
                <c:pt idx="168">
                  <c:v>0.94069505396750086</c:v>
                </c:pt>
                <c:pt idx="169">
                  <c:v>0.94069505396750086</c:v>
                </c:pt>
                <c:pt idx="170">
                  <c:v>0.94069505396750086</c:v>
                </c:pt>
                <c:pt idx="171">
                  <c:v>0.94069505396750086</c:v>
                </c:pt>
                <c:pt idx="172">
                  <c:v>0.94069505396750086</c:v>
                </c:pt>
                <c:pt idx="173">
                  <c:v>0.94069505396750086</c:v>
                </c:pt>
                <c:pt idx="174">
                  <c:v>0.94069505396750086</c:v>
                </c:pt>
                <c:pt idx="175">
                  <c:v>0.94069505396750086</c:v>
                </c:pt>
                <c:pt idx="176">
                  <c:v>0.94069505396750086</c:v>
                </c:pt>
                <c:pt idx="177">
                  <c:v>0.94069505396750086</c:v>
                </c:pt>
                <c:pt idx="178">
                  <c:v>0.94069505396750086</c:v>
                </c:pt>
                <c:pt idx="179">
                  <c:v>0.94069505396750086</c:v>
                </c:pt>
                <c:pt idx="180">
                  <c:v>0.94069505396750086</c:v>
                </c:pt>
              </c:numCache>
            </c:numRef>
          </c:yVal>
          <c:smooth val="1"/>
        </c:ser>
        <c:ser>
          <c:idx val="2"/>
          <c:order val="3"/>
          <c:tx>
            <c:strRef>
              <c:f>'Frequency Data'!$H$1</c:f>
              <c:strCache>
                <c:ptCount val="1"/>
                <c:pt idx="0">
                  <c:v>Mnom 
Range</c:v>
                </c:pt>
              </c:strCache>
            </c:strRef>
          </c:tx>
          <c:spPr>
            <a:ln w="22225">
              <a:solidFill>
                <a:srgbClr val="00B0F0"/>
              </a:solidFill>
              <a:prstDash val="sys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Data'!$H$2:$H$182</c:f>
              <c:numCache>
                <c:formatCode>0.000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1.171664943123061</c:v>
                </c:pt>
                <c:pt idx="56">
                  <c:v>1.171664943123061</c:v>
                </c:pt>
                <c:pt idx="57">
                  <c:v>1.171664943123061</c:v>
                </c:pt>
                <c:pt idx="58">
                  <c:v>1.171664943123061</c:v>
                </c:pt>
                <c:pt idx="59">
                  <c:v>1.171664943123061</c:v>
                </c:pt>
                <c:pt idx="60">
                  <c:v>1.171664943123061</c:v>
                </c:pt>
                <c:pt idx="61">
                  <c:v>1.171664943123061</c:v>
                </c:pt>
                <c:pt idx="62">
                  <c:v>1.171664943123061</c:v>
                </c:pt>
                <c:pt idx="63">
                  <c:v>1.171664943123061</c:v>
                </c:pt>
                <c:pt idx="64">
                  <c:v>1.171664943123061</c:v>
                </c:pt>
                <c:pt idx="65">
                  <c:v>1.171664943123061</c:v>
                </c:pt>
                <c:pt idx="66">
                  <c:v>1.171664943123061</c:v>
                </c:pt>
                <c:pt idx="67">
                  <c:v>1.171664943123061</c:v>
                </c:pt>
                <c:pt idx="68">
                  <c:v>1.171664943123061</c:v>
                </c:pt>
                <c:pt idx="69">
                  <c:v>1.171664943123061</c:v>
                </c:pt>
                <c:pt idx="70">
                  <c:v>1.171664943123061</c:v>
                </c:pt>
                <c:pt idx="71">
                  <c:v>1.171664943123061</c:v>
                </c:pt>
                <c:pt idx="72">
                  <c:v>1.171664943123061</c:v>
                </c:pt>
                <c:pt idx="73">
                  <c:v>1.171664943123061</c:v>
                </c:pt>
                <c:pt idx="74">
                  <c:v>1.171664943123061</c:v>
                </c:pt>
                <c:pt idx="75">
                  <c:v>1.171664943123061</c:v>
                </c:pt>
                <c:pt idx="76">
                  <c:v>1.171664943123061</c:v>
                </c:pt>
                <c:pt idx="77">
                  <c:v>1.171664943123061</c:v>
                </c:pt>
                <c:pt idx="78">
                  <c:v>1.171664943123061</c:v>
                </c:pt>
                <c:pt idx="79">
                  <c:v>1.171664943123061</c:v>
                </c:pt>
                <c:pt idx="80">
                  <c:v>1.171664943123061</c:v>
                </c:pt>
                <c:pt idx="81">
                  <c:v>1.171664943123061</c:v>
                </c:pt>
                <c:pt idx="82">
                  <c:v>1.171664943123061</c:v>
                </c:pt>
                <c:pt idx="83">
                  <c:v>1.171664943123061</c:v>
                </c:pt>
                <c:pt idx="84">
                  <c:v>1.171664943123061</c:v>
                </c:pt>
                <c:pt idx="85">
                  <c:v>1.171664943123061</c:v>
                </c:pt>
                <c:pt idx="86">
                  <c:v>1.171664943123061</c:v>
                </c:pt>
                <c:pt idx="87">
                  <c:v>1.171664943123061</c:v>
                </c:pt>
                <c:pt idx="88">
                  <c:v>1.171664943123061</c:v>
                </c:pt>
                <c:pt idx="89">
                  <c:v>1.171664943123061</c:v>
                </c:pt>
                <c:pt idx="90">
                  <c:v>1.171664943123061</c:v>
                </c:pt>
                <c:pt idx="91">
                  <c:v>1.171664943123061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ser>
          <c:idx val="3"/>
          <c:order val="4"/>
          <c:tx>
            <c:strRef>
              <c:f>'Frequency Data'!$O$1</c:f>
              <c:strCache>
                <c:ptCount val="1"/>
                <c:pt idx="0">
                  <c:v>Fix Load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Data'!$O$2:$O$182</c:f>
              <c:numCache>
                <c:formatCode>General</c:formatCode>
                <c:ptCount val="181"/>
                <c:pt idx="0">
                  <c:v>5.3388971716546677E-2</c:v>
                </c:pt>
                <c:pt idx="1">
                  <c:v>6.489222319086671E-2</c:v>
                </c:pt>
                <c:pt idx="2">
                  <c:v>7.7602841911765211E-2</c:v>
                </c:pt>
                <c:pt idx="3">
                  <c:v>9.1548435849391319E-2</c:v>
                </c:pt>
                <c:pt idx="4">
                  <c:v>0.10675742488168166</c:v>
                </c:pt>
                <c:pt idx="5">
                  <c:v>0.12325844019226181</c:v>
                </c:pt>
                <c:pt idx="6">
                  <c:v>0.14107958967489459</c:v>
                </c:pt>
                <c:pt idx="7">
                  <c:v>0.16024756908361198</c:v>
                </c:pt>
                <c:pt idx="8">
                  <c:v>0.1807865987009695</c:v>
                </c:pt>
                <c:pt idx="9">
                  <c:v>0.20271716674861767</c:v>
                </c:pt>
                <c:pt idx="10">
                  <c:v>0.22605456422541129</c:v>
                </c:pt>
                <c:pt idx="11">
                  <c:v>0.25080720202735135</c:v>
                </c:pt>
                <c:pt idx="12">
                  <c:v>0.27697471085304687</c:v>
                </c:pt>
                <c:pt idx="13">
                  <c:v>0.3045458383007667</c:v>
                </c:pt>
                <c:pt idx="14">
                  <c:v>0.33349617636599443</c:v>
                </c:pt>
                <c:pt idx="15">
                  <c:v>0.36378577658380606</c:v>
                </c:pt>
                <c:pt idx="16">
                  <c:v>0.39535673908692942</c:v>
                </c:pt>
                <c:pt idx="17">
                  <c:v>0.42813089474043797</c:v>
                </c:pt>
                <c:pt idx="18">
                  <c:v>0.46200773392846572</c:v>
                </c:pt>
                <c:pt idx="19">
                  <c:v>0.4968627676981634</c:v>
                </c:pt>
                <c:pt idx="20">
                  <c:v>0.53254653146320496</c:v>
                </c:pt>
                <c:pt idx="21">
                  <c:v>0.56888445171667323</c:v>
                </c:pt>
                <c:pt idx="22">
                  <c:v>0.60567778507031989</c:v>
                </c:pt>
                <c:pt idx="23">
                  <c:v>0.64270580009163769</c:v>
                </c:pt>
                <c:pt idx="24">
                  <c:v>0.67972930210677129</c:v>
                </c:pt>
                <c:pt idx="25">
                  <c:v>0.71649550017550789</c:v>
                </c:pt>
                <c:pt idx="26">
                  <c:v>0.7527440907465881</c:v>
                </c:pt>
                <c:pt idx="27">
                  <c:v>0.78821429761942752</c:v>
                </c:pt>
                <c:pt idx="28">
                  <c:v>0.82265248178475803</c:v>
                </c:pt>
                <c:pt idx="29">
                  <c:v>0.85581983890118518</c:v>
                </c:pt>
                <c:pt idx="30">
                  <c:v>0.88749965586688351</c:v>
                </c:pt>
                <c:pt idx="31">
                  <c:v>0.91750361343930797</c:v>
                </c:pt>
                <c:pt idx="32">
                  <c:v>0.94567670069723075</c:v>
                </c:pt>
                <c:pt idx="33">
                  <c:v>0.97190043897791933</c:v>
                </c:pt>
                <c:pt idx="34">
                  <c:v>0.99609427743346235</c:v>
                </c:pt>
                <c:pt idx="35">
                  <c:v>1.0182151938209847</c:v>
                </c:pt>
                <c:pt idx="36">
                  <c:v>1.03825568729295</c:v>
                </c:pt>
                <c:pt idx="37">
                  <c:v>1.0562404652224811</c:v>
                </c:pt>
                <c:pt idx="38">
                  <c:v>1.072222192918687</c:v>
                </c:pt>
                <c:pt idx="39">
                  <c:v>1.0862766925495142</c:v>
                </c:pt>
                <c:pt idx="40">
                  <c:v>1.0984979527747363</c:v>
                </c:pt>
                <c:pt idx="41">
                  <c:v>1.108993255505925</c:v>
                </c:pt>
                <c:pt idx="42">
                  <c:v>1.1178786544371093</c:v>
                </c:pt>
                <c:pt idx="43">
                  <c:v>1.1252749639359085</c:v>
                </c:pt>
                <c:pt idx="44">
                  <c:v>1.1313043460755214</c:v>
                </c:pt>
                <c:pt idx="45">
                  <c:v>1.1360875240476929</c:v>
                </c:pt>
                <c:pt idx="46">
                  <c:v>1.1397416046707467</c:v>
                </c:pt>
                <c:pt idx="47">
                  <c:v>1.1423784613717318</c:v>
                </c:pt>
                <c:pt idx="48">
                  <c:v>1.1441036103619704</c:v>
                </c:pt>
                <c:pt idx="49">
                  <c:v>1.1450155043464683</c:v>
                </c:pt>
                <c:pt idx="50">
                  <c:v>1.1452051673670391</c:v>
                </c:pt>
                <c:pt idx="51">
                  <c:v>1.1447560988025287</c:v>
                </c:pt>
                <c:pt idx="52">
                  <c:v>1.1437443820559487</c:v>
                </c:pt>
                <c:pt idx="53">
                  <c:v>1.1422389424399755</c:v>
                </c:pt>
                <c:pt idx="54">
                  <c:v>1.1403019080814252</c:v>
                </c:pt>
                <c:pt idx="55">
                  <c:v>1.1379890365506165</c:v>
                </c:pt>
                <c:pt idx="56">
                  <c:v>1.1353501779445583</c:v>
                </c:pt>
                <c:pt idx="57">
                  <c:v>1.1324297521050284</c:v>
                </c:pt>
                <c:pt idx="58">
                  <c:v>1.1292672234824674</c:v>
                </c:pt>
                <c:pt idx="59">
                  <c:v>1.125897561911912</c:v>
                </c:pt>
                <c:pt idx="60">
                  <c:v>1.1223516813515164</c:v>
                </c:pt>
                <c:pt idx="61">
                  <c:v>1.1186568515766926</c:v>
                </c:pt>
                <c:pt idx="62">
                  <c:v>1.1148370800582459</c:v>
                </c:pt>
                <c:pt idx="63">
                  <c:v>1.1109134629094988</c:v>
                </c:pt>
                <c:pt idx="64">
                  <c:v>1.106904504980597</c:v>
                </c:pt>
                <c:pt idx="65">
                  <c:v>1.1028264100077672</c:v>
                </c:pt>
                <c:pt idx="66">
                  <c:v>1.0986933422747576</c:v>
                </c:pt>
                <c:pt idx="67">
                  <c:v>1.0945176615814864</c:v>
                </c:pt>
                <c:pt idx="68">
                  <c:v>1.090310133495866</c:v>
                </c:pt>
                <c:pt idx="69">
                  <c:v>1.0860801169321472</c:v>
                </c:pt>
                <c:pt idx="70">
                  <c:v>1.0818357310864499</c:v>
                </c:pt>
                <c:pt idx="71">
                  <c:v>1.0775840036930462</c:v>
                </c:pt>
                <c:pt idx="72">
                  <c:v>1.0733310024627116</c:v>
                </c:pt>
                <c:pt idx="73">
                  <c:v>1.0690819514413148</c:v>
                </c:pt>
                <c:pt idx="74">
                  <c:v>1.0648413338931415</c:v>
                </c:pt>
                <c:pt idx="75">
                  <c:v>1.0606129831765856</c:v>
                </c:pt>
                <c:pt idx="76">
                  <c:v>1.0564001629449036</c:v>
                </c:pt>
                <c:pt idx="77">
                  <c:v>1.0522056378750582</c:v>
                </c:pt>
                <c:pt idx="78">
                  <c:v>1.0480317360054252</c:v>
                </c:pt>
                <c:pt idx="79">
                  <c:v>1.0438804036494886</c:v>
                </c:pt>
                <c:pt idx="80">
                  <c:v>1.0397532537481542</c:v>
                </c:pt>
                <c:pt idx="81">
                  <c:v>1.0356516084280654</c:v>
                </c:pt>
                <c:pt idx="82">
                  <c:v>1.0315765364470801</c:v>
                </c:pt>
                <c:pt idx="83">
                  <c:v>1.0275288861304452</c:v>
                </c:pt>
                <c:pt idx="84">
                  <c:v>1.0235093143316549</c:v>
                </c:pt>
                <c:pt idx="85">
                  <c:v>1.0195183118898699</c:v>
                </c:pt>
                <c:pt idx="86">
                  <c:v>1.0155562260005078</c:v>
                </c:pt>
                <c:pt idx="87">
                  <c:v>1.0116232798665288</c:v>
                </c:pt>
                <c:pt idx="88">
                  <c:v>1.0077195899544618</c:v>
                </c:pt>
                <c:pt idx="89">
                  <c:v>1.0038451811407487</c:v>
                </c:pt>
                <c:pt idx="90">
                  <c:v>1</c:v>
                </c:pt>
                <c:pt idx="91">
                  <c:v>0.9631075028460383</c:v>
                </c:pt>
                <c:pt idx="92">
                  <c:v>0.92880692728331748</c:v>
                </c:pt>
                <c:pt idx="93">
                  <c:v>0.89672093345697468</c:v>
                </c:pt>
                <c:pt idx="94">
                  <c:v>0.86652865115703936</c:v>
                </c:pt>
                <c:pt idx="95">
                  <c:v>0.83798675995882177</c:v>
                </c:pt>
                <c:pt idx="96">
                  <c:v>0.81091580040015332</c:v>
                </c:pt>
                <c:pt idx="97">
                  <c:v>0.78518220004871675</c:v>
                </c:pt>
                <c:pt idx="98">
                  <c:v>0.76068353280265144</c:v>
                </c:pt>
                <c:pt idx="99">
                  <c:v>0.73733794901058736</c:v>
                </c:pt>
                <c:pt idx="100">
                  <c:v>0.71507704894931989</c:v>
                </c:pt>
                <c:pt idx="101">
                  <c:v>0.6938412522742613</c:v>
                </c:pt>
                <c:pt idx="102">
                  <c:v>0.67357687247500042</c:v>
                </c:pt>
                <c:pt idx="103">
                  <c:v>0.65423431603967719</c:v>
                </c:pt>
                <c:pt idx="104">
                  <c:v>0.63576700447136281</c:v>
                </c:pt>
                <c:pt idx="105">
                  <c:v>0.61813074971706417</c:v>
                </c:pt>
                <c:pt idx="106">
                  <c:v>0.60128340631398147</c:v>
                </c:pt>
                <c:pt idx="107">
                  <c:v>0.58518468653276046</c:v>
                </c:pt>
                <c:pt idx="108">
                  <c:v>0.56979606672622984</c:v>
                </c:pt>
                <c:pt idx="109">
                  <c:v>0.55508074059382428</c:v>
                </c:pt>
                <c:pt idx="110">
                  <c:v>0.54100359286491873</c:v>
                </c:pt>
                <c:pt idx="111">
                  <c:v>0.52753117824696982</c:v>
                </c:pt>
                <c:pt idx="112">
                  <c:v>0.51463169758609184</c:v>
                </c:pt>
                <c:pt idx="113">
                  <c:v>0.50227496752927969</c:v>
                </c:pt>
                <c:pt idx="114">
                  <c:v>0.49043238254273674</c:v>
                </c:pt>
                <c:pt idx="115">
                  <c:v>0.47907686957844736</c:v>
                </c:pt>
                <c:pt idx="116">
                  <c:v>0.46818283641581498</c:v>
                </c:pt>
                <c:pt idx="117">
                  <c:v>0.45772611501241584</c:v>
                </c:pt>
                <c:pt idx="118">
                  <c:v>0.447683901254603</c:v>
                </c:pt>
                <c:pt idx="119">
                  <c:v>0.43803469241691878</c:v>
                </c:pt>
                <c:pt idx="120">
                  <c:v>0.42875822348877085</c:v>
                </c:pt>
                <c:pt idx="121">
                  <c:v>0.41983540334984126</c:v>
                </c:pt>
                <c:pt idx="122">
                  <c:v>0.41124825159687095</c:v>
                </c:pt>
                <c:pt idx="123">
                  <c:v>0.40297983665728415</c:v>
                </c:pt>
                <c:pt idx="124">
                  <c:v>0.3950142156761301</c:v>
                </c:pt>
                <c:pt idx="125">
                  <c:v>0.38733637653439917</c:v>
                </c:pt>
                <c:pt idx="126">
                  <c:v>0.3799321822488293</c:v>
                </c:pt>
                <c:pt idx="127">
                  <c:v>0.37278831791447553</c:v>
                </c:pt>
                <c:pt idx="128">
                  <c:v>0.36589224027952499</c:v>
                </c:pt>
                <c:pt idx="129">
                  <c:v>0.35923212998485521</c:v>
                </c:pt>
                <c:pt idx="130">
                  <c:v>0.35279684645644338</c:v>
                </c:pt>
                <c:pt idx="131">
                  <c:v>0.3465758854048509</c:v>
                </c:pt>
                <c:pt idx="132">
                  <c:v>0.34055933886079798</c:v>
                </c:pt>
                <c:pt idx="133">
                  <c:v>0.33473785765768183</c:v>
                </c:pt>
                <c:pt idx="134">
                  <c:v>0.32910261625940979</c:v>
                </c:pt>
                <c:pt idx="135">
                  <c:v>0.32364527982395158</c:v>
                </c:pt>
                <c:pt idx="136">
                  <c:v>0.31835797338859856</c:v>
                </c:pt>
                <c:pt idx="137">
                  <c:v>0.31323325306125477</c:v>
                </c:pt>
                <c:pt idx="138">
                  <c:v>0.30826407910253328</c:v>
                </c:pt>
                <c:pt idx="139">
                  <c:v>0.3034437907854568</c:v>
                </c:pt>
                <c:pt idx="140">
                  <c:v>0.2987660829227507</c:v>
                </c:pt>
                <c:pt idx="141">
                  <c:v>0.29422498395572122</c:v>
                </c:pt>
                <c:pt idx="142">
                  <c:v>0.28981483550328541</c:v>
                </c:pt>
                <c:pt idx="143">
                  <c:v>0.28553027327462455</c:v>
                </c:pt>
                <c:pt idx="144">
                  <c:v>0.28136620925403721</c:v>
                </c:pt>
                <c:pt idx="145">
                  <c:v>0.27731781507172526</c:v>
                </c:pt>
                <c:pt idx="146">
                  <c:v>0.27338050647937751</c:v>
                </c:pt>
                <c:pt idx="147">
                  <c:v>0.26954992885442908</c:v>
                </c:pt>
                <c:pt idx="148">
                  <c:v>0.26582194366176698</c:v>
                </c:pt>
                <c:pt idx="149">
                  <c:v>0.26219261580631104</c:v>
                </c:pt>
                <c:pt idx="150">
                  <c:v>0.2586582018143842</c:v>
                </c:pt>
                <c:pt idx="151">
                  <c:v>0.25521513878603358</c:v>
                </c:pt>
                <c:pt idx="152">
                  <c:v>0.25186003406446267</c:v>
                </c:pt>
                <c:pt idx="153">
                  <c:v>0.24858965557253007</c:v>
                </c:pt>
                <c:pt idx="154">
                  <c:v>0.24540092276979136</c:v>
                </c:pt>
                <c:pt idx="155">
                  <c:v>0.24229089818690644</c:v>
                </c:pt>
                <c:pt idx="156">
                  <c:v>0.23925677949731131</c:v>
                </c:pt>
                <c:pt idx="157">
                  <c:v>0.23629589208895554</c:v>
                </c:pt>
                <c:pt idx="158">
                  <c:v>0.23340568210158974</c:v>
                </c:pt>
                <c:pt idx="159">
                  <c:v>0.23058370989759042</c:v>
                </c:pt>
                <c:pt idx="160">
                  <c:v>0.22782764393662994</c:v>
                </c:pt>
                <c:pt idx="161">
                  <c:v>0.22513525502665208</c:v>
                </c:pt>
                <c:pt idx="162">
                  <c:v>0.22250441092561132</c:v>
                </c:pt>
                <c:pt idx="163">
                  <c:v>0.21993307127028355</c:v>
                </c:pt>
                <c:pt idx="164">
                  <c:v>0.21741928281016851</c:v>
                </c:pt>
                <c:pt idx="165">
                  <c:v>0.21496117492608965</c:v>
                </c:pt>
                <c:pt idx="166">
                  <c:v>0.21255695541456626</c:v>
                </c:pt>
                <c:pt idx="167">
                  <c:v>0.21020490652038873</c:v>
                </c:pt>
                <c:pt idx="168">
                  <c:v>0.20790338120108481</c:v>
                </c:pt>
                <c:pt idx="169">
                  <c:v>0.20565079960812793</c:v>
                </c:pt>
                <c:pt idx="170">
                  <c:v>0.20344564577081181</c:v>
                </c:pt>
                <c:pt idx="171">
                  <c:v>0.20128646446971216</c:v>
                </c:pt>
                <c:pt idx="172">
                  <c:v>0.19917185828757564</c:v>
                </c:pt>
                <c:pt idx="173">
                  <c:v>0.19710048482632833</c:v>
                </c:pt>
                <c:pt idx="174">
                  <c:v>0.19507105407968311</c:v>
                </c:pt>
                <c:pt idx="175">
                  <c:v>0.19308232595155711</c:v>
                </c:pt>
                <c:pt idx="176">
                  <c:v>0.19113310791118412</c:v>
                </c:pt>
                <c:pt idx="177">
                  <c:v>0.18922225277643215</c:v>
                </c:pt>
                <c:pt idx="178">
                  <c:v>0.18734865661741856</c:v>
                </c:pt>
                <c:pt idx="179">
                  <c:v>0.18551125677304928</c:v>
                </c:pt>
                <c:pt idx="180">
                  <c:v>0.18370902997360838</c:v>
                </c:pt>
              </c:numCache>
            </c:numRef>
          </c:yVal>
          <c:smooth val="1"/>
        </c:ser>
        <c:ser>
          <c:idx val="4"/>
          <c:order val="5"/>
          <c:tx>
            <c:strRef>
              <c:f>'Frequency Data'!$P$1</c:f>
              <c:strCache>
                <c:ptCount val="1"/>
                <c:pt idx="0">
                  <c:v>Fix Load 
Oper Range</c:v>
                </c:pt>
              </c:strCache>
            </c:strRef>
          </c:tx>
          <c:spPr>
            <a:ln w="22225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Data'!$P$2:$P$182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1.1260880286363109</c:v>
                </c:pt>
                <c:pt idx="60">
                  <c:v>1.1260880286363109</c:v>
                </c:pt>
                <c:pt idx="61">
                  <c:v>1.1260880286363109</c:v>
                </c:pt>
                <c:pt idx="62">
                  <c:v>1.1260880286363109</c:v>
                </c:pt>
                <c:pt idx="63">
                  <c:v>1.1260880286363109</c:v>
                </c:pt>
                <c:pt idx="64">
                  <c:v>1.1260880286363109</c:v>
                </c:pt>
                <c:pt idx="65">
                  <c:v>1.1260880286363109</c:v>
                </c:pt>
                <c:pt idx="66">
                  <c:v>1.1260880286363109</c:v>
                </c:pt>
                <c:pt idx="67">
                  <c:v>1.1260880286363109</c:v>
                </c:pt>
                <c:pt idx="68">
                  <c:v>1.1260880286363109</c:v>
                </c:pt>
                <c:pt idx="69">
                  <c:v>1.1260880286363109</c:v>
                </c:pt>
                <c:pt idx="70">
                  <c:v>1.1260880286363109</c:v>
                </c:pt>
                <c:pt idx="71">
                  <c:v>1.1260880286363109</c:v>
                </c:pt>
                <c:pt idx="72">
                  <c:v>1.1260880286363109</c:v>
                </c:pt>
                <c:pt idx="73">
                  <c:v>1.1260880286363109</c:v>
                </c:pt>
                <c:pt idx="74">
                  <c:v>1.1260880286363109</c:v>
                </c:pt>
                <c:pt idx="75">
                  <c:v>1.1260880286363109</c:v>
                </c:pt>
                <c:pt idx="76">
                  <c:v>1.1260880286363109</c:v>
                </c:pt>
                <c:pt idx="77">
                  <c:v>1.1260880286363109</c:v>
                </c:pt>
                <c:pt idx="78">
                  <c:v>1.1260880286363109</c:v>
                </c:pt>
                <c:pt idx="79">
                  <c:v>1.1260880286363109</c:v>
                </c:pt>
                <c:pt idx="80">
                  <c:v>1.1260880286363109</c:v>
                </c:pt>
                <c:pt idx="81">
                  <c:v>1.1260880286363109</c:v>
                </c:pt>
                <c:pt idx="82">
                  <c:v>1.1260880286363109</c:v>
                </c:pt>
                <c:pt idx="83">
                  <c:v>1.1260880286363109</c:v>
                </c:pt>
                <c:pt idx="84">
                  <c:v>1.1260880286363109</c:v>
                </c:pt>
                <c:pt idx="85">
                  <c:v>1.1260880286363109</c:v>
                </c:pt>
                <c:pt idx="86">
                  <c:v>1.1260880286363109</c:v>
                </c:pt>
                <c:pt idx="87">
                  <c:v>1.1260880286363109</c:v>
                </c:pt>
                <c:pt idx="88">
                  <c:v>1.1260880286363109</c:v>
                </c:pt>
                <c:pt idx="89">
                  <c:v>1.1260880286363109</c:v>
                </c:pt>
                <c:pt idx="90">
                  <c:v>1.1260880286363109</c:v>
                </c:pt>
                <c:pt idx="91">
                  <c:v>1.1260880286363109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'Frequency Data'!$S$1</c:f>
              <c:strCache>
                <c:ptCount val="1"/>
                <c:pt idx="0">
                  <c:v>Var Load</c:v>
                </c:pt>
              </c:strCache>
            </c:strRef>
          </c:tx>
          <c:spPr>
            <a:ln w="28575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Data'!$S$2:$S$182</c:f>
              <c:numCache>
                <c:formatCode>General</c:formatCode>
                <c:ptCount val="181"/>
                <c:pt idx="0">
                  <c:v>5.0062092358483287E-2</c:v>
                </c:pt>
                <c:pt idx="1">
                  <c:v>6.0071032717579999E-2</c:v>
                </c:pt>
                <c:pt idx="2">
                  <c:v>7.0850281359416872E-2</c:v>
                </c:pt>
                <c:pt idx="3">
                  <c:v>8.2358888071630873E-2</c:v>
                </c:pt>
                <c:pt idx="4">
                  <c:v>9.455548084349874E-2</c:v>
                </c:pt>
                <c:pt idx="5">
                  <c:v>0.10739870164279819</c:v>
                </c:pt>
                <c:pt idx="6">
                  <c:v>0.12084758661901376</c:v>
                </c:pt>
                <c:pt idx="7">
                  <c:v>0.13486188764647009</c:v>
                </c:pt>
                <c:pt idx="8">
                  <c:v>0.14940233456626115</c:v>
                </c:pt>
                <c:pt idx="9">
                  <c:v>0.16443083953869436</c:v>
                </c:pt>
                <c:pt idx="10">
                  <c:v>0.17991064654500863</c:v>
                </c:pt>
                <c:pt idx="11">
                  <c:v>0.19580643028045022</c:v>
                </c:pt>
                <c:pt idx="12">
                  <c:v>0.21208434948930957</c:v>
                </c:pt>
                <c:pt idx="13">
                  <c:v>0.2287120602530848</c:v>
                </c:pt>
                <c:pt idx="14">
                  <c:v>0.24565869491235479</c:v>
                </c:pt>
                <c:pt idx="15">
                  <c:v>0.26289481224127592</c:v>
                </c:pt>
                <c:pt idx="16">
                  <c:v>0.28039232425914506</c:v>
                </c:pt>
                <c:pt idx="17">
                  <c:v>0.29812440470923979</c:v>
                </c:pt>
                <c:pt idx="18">
                  <c:v>0.31606538380688631</c:v>
                </c:pt>
                <c:pt idx="19">
                  <c:v>0.33419063339395982</c:v>
                </c:pt>
                <c:pt idx="20">
                  <c:v>0.35247644616508189</c:v>
                </c:pt>
                <c:pt idx="21">
                  <c:v>0.37089991217325619</c:v>
                </c:pt>
                <c:pt idx="22">
                  <c:v>0.38943879539433501</c:v>
                </c:pt>
                <c:pt idx="23">
                  <c:v>0.40807141273960806</c:v>
                </c:pt>
                <c:pt idx="24">
                  <c:v>0.42677651755828544</c:v>
                </c:pt>
                <c:pt idx="25">
                  <c:v>0.445533189367463</c:v>
                </c:pt>
                <c:pt idx="26">
                  <c:v>0.46432073128435764</c:v>
                </c:pt>
                <c:pt idx="27">
                  <c:v>0.48311857641025713</c:v>
                </c:pt>
                <c:pt idx="28">
                  <c:v>0.50190620422267307</c:v>
                </c:pt>
                <c:pt idx="29">
                  <c:v>0.5206630678657056</c:v>
                </c:pt>
                <c:pt idx="30">
                  <c:v>0.53936853308251642</c:v>
                </c:pt>
                <c:pt idx="31">
                  <c:v>0.5580018294019673</c:v>
                </c:pt>
                <c:pt idx="32">
                  <c:v>0.57654201406806349</c:v>
                </c:pt>
                <c:pt idx="33">
                  <c:v>0.59496794908065131</c:v>
                </c:pt>
                <c:pt idx="34">
                  <c:v>0.61325829159414702</c:v>
                </c:pt>
                <c:pt idx="35">
                  <c:v>0.63139149779422643</c:v>
                </c:pt>
                <c:pt idx="36">
                  <c:v>0.64934584023743347</c:v>
                </c:pt>
                <c:pt idx="37">
                  <c:v>0.6670994384937794</c:v>
                </c:pt>
                <c:pt idx="38">
                  <c:v>0.68463030277676884</c:v>
                </c:pt>
                <c:pt idx="39">
                  <c:v>0.70191639007927109</c:v>
                </c:pt>
                <c:pt idx="40">
                  <c:v>0.7189356721586877</c:v>
                </c:pt>
                <c:pt idx="41">
                  <c:v>0.73566621453350611</c:v>
                </c:pt>
                <c:pt idx="42">
                  <c:v>0.75208626546913293</c:v>
                </c:pt>
                <c:pt idx="43">
                  <c:v>0.76817435374834209</c:v>
                </c:pt>
                <c:pt idx="44">
                  <c:v>0.78390939384600056</c:v>
                </c:pt>
                <c:pt idx="45">
                  <c:v>0.7992707969646583</c:v>
                </c:pt>
                <c:pt idx="46">
                  <c:v>0.814238586243197</c:v>
                </c:pt>
                <c:pt idx="47">
                  <c:v>0.82879351433102877</c:v>
                </c:pt>
                <c:pt idx="48">
                  <c:v>0.84291718143105254</c:v>
                </c:pt>
                <c:pt idx="49">
                  <c:v>0.85659215186079996</c:v>
                </c:pt>
                <c:pt idx="50">
                  <c:v>0.86980206716708752</c:v>
                </c:pt>
                <c:pt idx="51">
                  <c:v>0.88253175385795157</c:v>
                </c:pt>
                <c:pt idx="52">
                  <c:v>0.89476732388818603</c:v>
                </c:pt>
                <c:pt idx="53">
                  <c:v>0.9064962661512973</c:v>
                </c:pt>
                <c:pt idx="54">
                  <c:v>0.91770752738932482</c:v>
                </c:pt>
                <c:pt idx="55">
                  <c:v>0.92839158112930165</c:v>
                </c:pt>
                <c:pt idx="56">
                  <c:v>0.93854048348606056</c:v>
                </c:pt>
                <c:pt idx="57">
                  <c:v>0.94814791492923789</c:v>
                </c:pt>
                <c:pt idx="58">
                  <c:v>0.95720920739015403</c:v>
                </c:pt>
                <c:pt idx="59">
                  <c:v>0.96572135637346523</c:v>
                </c:pt>
                <c:pt idx="60">
                  <c:v>0.97368301803042434</c:v>
                </c:pt>
                <c:pt idx="61">
                  <c:v>0.98109449143658189</c:v>
                </c:pt>
                <c:pt idx="62">
                  <c:v>0.98795768658856642</c:v>
                </c:pt>
                <c:pt idx="63">
                  <c:v>0.99427607888466563</c:v>
                </c:pt>
                <c:pt idx="64">
                  <c:v>1.0000546510758859</c:v>
                </c:pt>
                <c:pt idx="65">
                  <c:v>1.0052998238628148</c:v>
                </c:pt>
                <c:pt idx="66">
                  <c:v>1.0100193764653047</c:v>
                </c:pt>
                <c:pt idx="67">
                  <c:v>1.0142223586045225</c:v>
                </c:pt>
                <c:pt idx="68">
                  <c:v>1.0179189954096659</c:v>
                </c:pt>
                <c:pt idx="69">
                  <c:v>1.0211205867953832</c:v>
                </c:pt>
                <c:pt idx="70">
                  <c:v>1.0238394028527209</c:v>
                </c:pt>
                <c:pt idx="71">
                  <c:v>1.0260885767593748</c:v>
                </c:pt>
                <c:pt idx="72">
                  <c:v>1.0278819966481612</c:v>
                </c:pt>
                <c:pt idx="73">
                  <c:v>1.0292341977804711</c:v>
                </c:pt>
                <c:pt idx="74">
                  <c:v>1.0301602562590269</c:v>
                </c:pt>
                <c:pt idx="75">
                  <c:v>1.0306756853865062</c:v>
                </c:pt>
                <c:pt idx="76">
                  <c:v>1.0307963356385603</c:v>
                </c:pt>
                <c:pt idx="77">
                  <c:v>1.0305382990760612</c:v>
                </c:pt>
                <c:pt idx="78">
                  <c:v>1.0299178188763976</c:v>
                </c:pt>
                <c:pt idx="79">
                  <c:v>1.0289512045210314</c:v>
                </c:pt>
                <c:pt idx="80">
                  <c:v>1.0276547530395552</c:v>
                </c:pt>
                <c:pt idx="81">
                  <c:v>1.0260446765817086</c:v>
                </c:pt>
                <c:pt idx="82">
                  <c:v>1.0241370364702338</c:v>
                </c:pt>
                <c:pt idx="83">
                  <c:v>1.0219476837804504</c:v>
                </c:pt>
                <c:pt idx="84">
                  <c:v>1.0194922063979002</c:v>
                </c:pt>
                <c:pt idx="85">
                  <c:v>1.0167858824237137</c:v>
                </c:pt>
                <c:pt idx="86">
                  <c:v>1.0138436397284847</c:v>
                </c:pt>
                <c:pt idx="87">
                  <c:v>1.0106800213990321</c:v>
                </c:pt>
                <c:pt idx="88">
                  <c:v>1.0073091567778412</c:v>
                </c:pt>
                <c:pt idx="89">
                  <c:v>1.0037447377613919</c:v>
                </c:pt>
                <c:pt idx="90">
                  <c:v>1</c:v>
                </c:pt>
                <c:pt idx="91">
                  <c:v>0.9552033386739317</c:v>
                </c:pt>
                <c:pt idx="92">
                  <c:v>0.90341078589776491</c:v>
                </c:pt>
                <c:pt idx="93">
                  <c:v>0.85061112837678432</c:v>
                </c:pt>
                <c:pt idx="94">
                  <c:v>0.79989231715620124</c:v>
                </c:pt>
                <c:pt idx="95">
                  <c:v>0.75262130217737711</c:v>
                </c:pt>
                <c:pt idx="96">
                  <c:v>0.70923577441964203</c:v>
                </c:pt>
                <c:pt idx="97">
                  <c:v>0.66970737636634359</c:v>
                </c:pt>
                <c:pt idx="98">
                  <c:v>0.63379433433352939</c:v>
                </c:pt>
                <c:pt idx="99">
                  <c:v>0.60117318956820243</c:v>
                </c:pt>
                <c:pt idx="100">
                  <c:v>0.57150466780490128</c:v>
                </c:pt>
                <c:pt idx="101">
                  <c:v>0.54446470357326959</c:v>
                </c:pt>
                <c:pt idx="102">
                  <c:v>0.51975743124870877</c:v>
                </c:pt>
                <c:pt idx="103">
                  <c:v>0.49711908318965703</c:v>
                </c:pt>
                <c:pt idx="104">
                  <c:v>0.47631749459011136</c:v>
                </c:pt>
                <c:pt idx="105">
                  <c:v>0.45714965737955404</c:v>
                </c:pt>
                <c:pt idx="106">
                  <c:v>0.43943857018686044</c:v>
                </c:pt>
                <c:pt idx="107">
                  <c:v>0.42303000078779723</c:v>
                </c:pt>
                <c:pt idx="108">
                  <c:v>0.40778944685805357</c:v>
                </c:pt>
                <c:pt idx="109">
                  <c:v>0.39359940975810409</c:v>
                </c:pt>
                <c:pt idx="110">
                  <c:v>0.38035700977023379</c:v>
                </c:pt>
                <c:pt idx="111">
                  <c:v>0.3679719298133205</c:v>
                </c:pt>
                <c:pt idx="112">
                  <c:v>0.35636465681850998</c:v>
                </c:pt>
                <c:pt idx="113">
                  <c:v>0.34546498420173555</c:v>
                </c:pt>
                <c:pt idx="114">
                  <c:v>0.33521073908478521</c:v>
                </c:pt>
                <c:pt idx="115">
                  <c:v>0.32554670083924492</c:v>
                </c:pt>
                <c:pt idx="116">
                  <c:v>0.31642368145823774</c:v>
                </c:pt>
                <c:pt idx="117">
                  <c:v>0.30779774234245233</c:v>
                </c:pt>
                <c:pt idx="118">
                  <c:v>0.29962952591469377</c:v>
                </c:pt>
                <c:pt idx="119">
                  <c:v>0.29188368388557512</c:v>
                </c:pt>
                <c:pt idx="120">
                  <c:v>0.28452838693954258</c:v>
                </c:pt>
                <c:pt idx="121">
                  <c:v>0.2775349031127689</c:v>
                </c:pt>
                <c:pt idx="122">
                  <c:v>0.27087723423632526</c:v>
                </c:pt>
                <c:pt idx="123">
                  <c:v>0.26453180157176776</c:v>
                </c:pt>
                <c:pt idx="124">
                  <c:v>0.25847717322384767</c:v>
                </c:pt>
                <c:pt idx="125">
                  <c:v>0.25269382712409511</c:v>
                </c:pt>
                <c:pt idx="126">
                  <c:v>0.24716394438126671</c:v>
                </c:pt>
                <c:pt idx="127">
                  <c:v>0.24187122862570265</c:v>
                </c:pt>
                <c:pt idx="128">
                  <c:v>0.23680074766441839</c:v>
                </c:pt>
                <c:pt idx="129">
                  <c:v>0.23193879433710682</c:v>
                </c:pt>
                <c:pt idx="130">
                  <c:v>0.22727276394066315</c:v>
                </c:pt>
                <c:pt idx="131">
                  <c:v>0.22279104598822691</c:v>
                </c:pt>
                <c:pt idx="132">
                  <c:v>0.21848292840190001</c:v>
                </c:pt>
                <c:pt idx="133">
                  <c:v>0.21433851251756963</c:v>
                </c:pt>
                <c:pt idx="134">
                  <c:v>0.21034863751494093</c:v>
                </c:pt>
                <c:pt idx="135">
                  <c:v>0.20650481308356455</c:v>
                </c:pt>
                <c:pt idx="136">
                  <c:v>0.20279915930258299</c:v>
                </c:pt>
                <c:pt idx="137">
                  <c:v>0.19922435285325407</c:v>
                </c:pt>
                <c:pt idx="138">
                  <c:v>0.19577357880325738</c:v>
                </c:pt>
                <c:pt idx="139">
                  <c:v>0.19244048730384877</c:v>
                </c:pt>
                <c:pt idx="140">
                  <c:v>0.18921915462797129</c:v>
                </c:pt>
                <c:pt idx="141">
                  <c:v>0.18610404805184935</c:v>
                </c:pt>
                <c:pt idx="142">
                  <c:v>0.18308999414637395</c:v>
                </c:pt>
                <c:pt idx="143">
                  <c:v>0.18017215009936563</c:v>
                </c:pt>
                <c:pt idx="144">
                  <c:v>0.17734597773697147</c:v>
                </c:pt>
                <c:pt idx="145">
                  <c:v>0.17460721995314951</c:v>
                </c:pt>
                <c:pt idx="146">
                  <c:v>0.17195187929139147</c:v>
                </c:pt>
                <c:pt idx="147">
                  <c:v>0.16937619845332672</c:v>
                </c:pt>
                <c:pt idx="148">
                  <c:v>0.1668766425353547</c:v>
                </c:pt>
                <c:pt idx="149">
                  <c:v>0.16444988281748243</c:v>
                </c:pt>
                <c:pt idx="150">
                  <c:v>0.16209278194865639</c:v>
                </c:pt>
                <c:pt idx="151">
                  <c:v>0.15980238039043312</c:v>
                </c:pt>
                <c:pt idx="152">
                  <c:v>0.15757588399619701</c:v>
                </c:pt>
                <c:pt idx="153">
                  <c:v>0.15541065261662118</c:v>
                </c:pt>
                <c:pt idx="154">
                  <c:v>0.15330418963389364</c:v>
                </c:pt>
                <c:pt idx="155">
                  <c:v>0.15125413233766777</c:v>
                </c:pt>
                <c:pt idx="156">
                  <c:v>0.1492582430648689</c:v>
                </c:pt>
                <c:pt idx="157">
                  <c:v>0.14731440103360924</c:v>
                </c:pt>
                <c:pt idx="158">
                  <c:v>0.14542059480863531</c:v>
                </c:pt>
                <c:pt idx="159">
                  <c:v>0.14357491534209121</c:v>
                </c:pt>
                <c:pt idx="160">
                  <c:v>0.14177554953902127</c:v>
                </c:pt>
                <c:pt idx="161">
                  <c:v>0.14002077430204818</c:v>
                </c:pt>
                <c:pt idx="162">
                  <c:v>0.13830895101412605</c:v>
                </c:pt>
                <c:pt idx="163">
                  <c:v>0.13663852042224336</c:v>
                </c:pt>
                <c:pt idx="164">
                  <c:v>0.13500799788850074</c:v>
                </c:pt>
                <c:pt idx="165">
                  <c:v>0.13341596897816208</c:v>
                </c:pt>
                <c:pt idx="166">
                  <c:v>0.13186108535711613</c:v>
                </c:pt>
                <c:pt idx="167">
                  <c:v>0.1303420609737323</c:v>
                </c:pt>
                <c:pt idx="168">
                  <c:v>0.12885766850237662</c:v>
                </c:pt>
                <c:pt idx="169">
                  <c:v>0.12740673602790817</c:v>
                </c:pt>
                <c:pt idx="170">
                  <c:v>0.12598814395232075</c:v>
                </c:pt>
                <c:pt idx="171">
                  <c:v>0.12460082210635896</c:v>
                </c:pt>
                <c:pt idx="172">
                  <c:v>0.12324374705043682</c:v>
                </c:pt>
                <c:pt idx="173">
                  <c:v>0.12191593955054168</c:v>
                </c:pt>
                <c:pt idx="174">
                  <c:v>0.12061646221602976</c:v>
                </c:pt>
                <c:pt idx="175">
                  <c:v>0.11934441728732803</c:v>
                </c:pt>
                <c:pt idx="176">
                  <c:v>0.11809894456255894</c:v>
                </c:pt>
                <c:pt idx="177">
                  <c:v>0.11687921945301563</c:v>
                </c:pt>
                <c:pt idx="178">
                  <c:v>0.11568445115824168</c:v>
                </c:pt>
                <c:pt idx="179">
                  <c:v>0.11451388095221744</c:v>
                </c:pt>
                <c:pt idx="180">
                  <c:v>0.11336678057284173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'Frequency Data'!$T$1</c:f>
              <c:strCache>
                <c:ptCount val="1"/>
                <c:pt idx="0">
                  <c:v>Var Load 
Oper Range</c:v>
                </c:pt>
              </c:strCache>
            </c:strRef>
          </c:tx>
          <c:spPr>
            <a:ln w="2222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'Frequency Data'!$A$2:$A$182</c:f>
              <c:numCache>
                <c:formatCode>General</c:formatCode>
                <c:ptCount val="181"/>
                <c:pt idx="0">
                  <c:v>0.1</c:v>
                </c:pt>
                <c:pt idx="1">
                  <c:v>0.11</c:v>
                </c:pt>
                <c:pt idx="2">
                  <c:v>0.12</c:v>
                </c:pt>
                <c:pt idx="3">
                  <c:v>0.13</c:v>
                </c:pt>
                <c:pt idx="4">
                  <c:v>0.14000000000000001</c:v>
                </c:pt>
                <c:pt idx="5">
                  <c:v>0.15</c:v>
                </c:pt>
                <c:pt idx="6">
                  <c:v>0.16</c:v>
                </c:pt>
                <c:pt idx="7">
                  <c:v>0.17</c:v>
                </c:pt>
                <c:pt idx="8">
                  <c:v>0.18</c:v>
                </c:pt>
                <c:pt idx="9">
                  <c:v>0.19</c:v>
                </c:pt>
                <c:pt idx="10">
                  <c:v>0.2</c:v>
                </c:pt>
                <c:pt idx="11">
                  <c:v>0.21</c:v>
                </c:pt>
                <c:pt idx="12">
                  <c:v>0.22</c:v>
                </c:pt>
                <c:pt idx="13">
                  <c:v>0.23</c:v>
                </c:pt>
                <c:pt idx="14">
                  <c:v>0.24</c:v>
                </c:pt>
                <c:pt idx="15">
                  <c:v>0.25</c:v>
                </c:pt>
                <c:pt idx="16">
                  <c:v>0.26</c:v>
                </c:pt>
                <c:pt idx="17">
                  <c:v>0.27</c:v>
                </c:pt>
                <c:pt idx="18">
                  <c:v>0.28000000000000003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0.31</c:v>
                </c:pt>
                <c:pt idx="22">
                  <c:v>0.32</c:v>
                </c:pt>
                <c:pt idx="23">
                  <c:v>0.33</c:v>
                </c:pt>
                <c:pt idx="24">
                  <c:v>0.34</c:v>
                </c:pt>
                <c:pt idx="25">
                  <c:v>0.35</c:v>
                </c:pt>
                <c:pt idx="26">
                  <c:v>0.36</c:v>
                </c:pt>
                <c:pt idx="27">
                  <c:v>0.37</c:v>
                </c:pt>
                <c:pt idx="28">
                  <c:v>0.38</c:v>
                </c:pt>
                <c:pt idx="29">
                  <c:v>0.39</c:v>
                </c:pt>
                <c:pt idx="30">
                  <c:v>0.4</c:v>
                </c:pt>
                <c:pt idx="31">
                  <c:v>0.41</c:v>
                </c:pt>
                <c:pt idx="32">
                  <c:v>0.42</c:v>
                </c:pt>
                <c:pt idx="33">
                  <c:v>0.43</c:v>
                </c:pt>
                <c:pt idx="34">
                  <c:v>0.44</c:v>
                </c:pt>
                <c:pt idx="35">
                  <c:v>0.45</c:v>
                </c:pt>
                <c:pt idx="36">
                  <c:v>0.46</c:v>
                </c:pt>
                <c:pt idx="37">
                  <c:v>0.47</c:v>
                </c:pt>
                <c:pt idx="38">
                  <c:v>0.48</c:v>
                </c:pt>
                <c:pt idx="39">
                  <c:v>0.49</c:v>
                </c:pt>
                <c:pt idx="40">
                  <c:v>0.5</c:v>
                </c:pt>
                <c:pt idx="41">
                  <c:v>0.51</c:v>
                </c:pt>
                <c:pt idx="42">
                  <c:v>0.52</c:v>
                </c:pt>
                <c:pt idx="43">
                  <c:v>0.53</c:v>
                </c:pt>
                <c:pt idx="44">
                  <c:v>0.54</c:v>
                </c:pt>
                <c:pt idx="45">
                  <c:v>0.55000000000000004</c:v>
                </c:pt>
                <c:pt idx="46">
                  <c:v>0.56000000000000005</c:v>
                </c:pt>
                <c:pt idx="47">
                  <c:v>0.56999999999999995</c:v>
                </c:pt>
                <c:pt idx="48">
                  <c:v>0.57999999999999996</c:v>
                </c:pt>
                <c:pt idx="49">
                  <c:v>0.59</c:v>
                </c:pt>
                <c:pt idx="50">
                  <c:v>0.6</c:v>
                </c:pt>
                <c:pt idx="51">
                  <c:v>0.61</c:v>
                </c:pt>
                <c:pt idx="52">
                  <c:v>0.62</c:v>
                </c:pt>
                <c:pt idx="53">
                  <c:v>0.63</c:v>
                </c:pt>
                <c:pt idx="54">
                  <c:v>0.64</c:v>
                </c:pt>
                <c:pt idx="55">
                  <c:v>0.65</c:v>
                </c:pt>
                <c:pt idx="56">
                  <c:v>0.66</c:v>
                </c:pt>
                <c:pt idx="57">
                  <c:v>0.67</c:v>
                </c:pt>
                <c:pt idx="58">
                  <c:v>0.68</c:v>
                </c:pt>
                <c:pt idx="59">
                  <c:v>0.69</c:v>
                </c:pt>
                <c:pt idx="60">
                  <c:v>0.7</c:v>
                </c:pt>
                <c:pt idx="61">
                  <c:v>0.71</c:v>
                </c:pt>
                <c:pt idx="62">
                  <c:v>0.72</c:v>
                </c:pt>
                <c:pt idx="63">
                  <c:v>0.73</c:v>
                </c:pt>
                <c:pt idx="64">
                  <c:v>0.74</c:v>
                </c:pt>
                <c:pt idx="65">
                  <c:v>0.75</c:v>
                </c:pt>
                <c:pt idx="66">
                  <c:v>0.76</c:v>
                </c:pt>
                <c:pt idx="67">
                  <c:v>0.77</c:v>
                </c:pt>
                <c:pt idx="68">
                  <c:v>0.78</c:v>
                </c:pt>
                <c:pt idx="69">
                  <c:v>0.79</c:v>
                </c:pt>
                <c:pt idx="70">
                  <c:v>0.8</c:v>
                </c:pt>
                <c:pt idx="71">
                  <c:v>0.81</c:v>
                </c:pt>
                <c:pt idx="72">
                  <c:v>0.82</c:v>
                </c:pt>
                <c:pt idx="73">
                  <c:v>0.83</c:v>
                </c:pt>
                <c:pt idx="74">
                  <c:v>0.84</c:v>
                </c:pt>
                <c:pt idx="75">
                  <c:v>0.85</c:v>
                </c:pt>
                <c:pt idx="76">
                  <c:v>0.86</c:v>
                </c:pt>
                <c:pt idx="77">
                  <c:v>0.87</c:v>
                </c:pt>
                <c:pt idx="78">
                  <c:v>0.88</c:v>
                </c:pt>
                <c:pt idx="79">
                  <c:v>0.89</c:v>
                </c:pt>
                <c:pt idx="80">
                  <c:v>0.9</c:v>
                </c:pt>
                <c:pt idx="81">
                  <c:v>0.91</c:v>
                </c:pt>
                <c:pt idx="82">
                  <c:v>0.92</c:v>
                </c:pt>
                <c:pt idx="83">
                  <c:v>0.93</c:v>
                </c:pt>
                <c:pt idx="84">
                  <c:v>0.94</c:v>
                </c:pt>
                <c:pt idx="85">
                  <c:v>0.95</c:v>
                </c:pt>
                <c:pt idx="86">
                  <c:v>0.96</c:v>
                </c:pt>
                <c:pt idx="87">
                  <c:v>0.97</c:v>
                </c:pt>
                <c:pt idx="88">
                  <c:v>0.98</c:v>
                </c:pt>
                <c:pt idx="89">
                  <c:v>0.99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6.5000000000000098</c:v>
                </c:pt>
                <c:pt idx="146">
                  <c:v>6.6</c:v>
                </c:pt>
                <c:pt idx="147">
                  <c:v>6.7</c:v>
                </c:pt>
                <c:pt idx="148">
                  <c:v>6.8000000000000096</c:v>
                </c:pt>
                <c:pt idx="149">
                  <c:v>6.9000000000000101</c:v>
                </c:pt>
                <c:pt idx="150">
                  <c:v>7.0000000000000098</c:v>
                </c:pt>
                <c:pt idx="151">
                  <c:v>7.1</c:v>
                </c:pt>
                <c:pt idx="152">
                  <c:v>7.2000000000000099</c:v>
                </c:pt>
                <c:pt idx="153">
                  <c:v>7.3000000000000096</c:v>
                </c:pt>
                <c:pt idx="154">
                  <c:v>7.4000000000000101</c:v>
                </c:pt>
                <c:pt idx="155">
                  <c:v>7.5000000000000098</c:v>
                </c:pt>
                <c:pt idx="156">
                  <c:v>7.6000000000000103</c:v>
                </c:pt>
                <c:pt idx="157">
                  <c:v>7.7000000000000099</c:v>
                </c:pt>
                <c:pt idx="158">
                  <c:v>7.8000000000000096</c:v>
                </c:pt>
                <c:pt idx="159">
                  <c:v>7.9000000000000101</c:v>
                </c:pt>
                <c:pt idx="160">
                  <c:v>8.0000000000000107</c:v>
                </c:pt>
                <c:pt idx="161">
                  <c:v>8.1000000000000103</c:v>
                </c:pt>
                <c:pt idx="162">
                  <c:v>8.2000000000000099</c:v>
                </c:pt>
                <c:pt idx="163">
                  <c:v>8.3000000000000096</c:v>
                </c:pt>
                <c:pt idx="164">
                  <c:v>8.4000000000000092</c:v>
                </c:pt>
                <c:pt idx="165">
                  <c:v>8.5000000000000107</c:v>
                </c:pt>
                <c:pt idx="166">
                  <c:v>8.6000000000000103</c:v>
                </c:pt>
                <c:pt idx="167">
                  <c:v>8.7000000000000099</c:v>
                </c:pt>
                <c:pt idx="168">
                  <c:v>8.8000000000000096</c:v>
                </c:pt>
                <c:pt idx="169">
                  <c:v>8.9000000000000092</c:v>
                </c:pt>
                <c:pt idx="170">
                  <c:v>9.0000000000000107</c:v>
                </c:pt>
                <c:pt idx="171">
                  <c:v>9.1000000000000103</c:v>
                </c:pt>
                <c:pt idx="172">
                  <c:v>9.2000000000000099</c:v>
                </c:pt>
                <c:pt idx="173">
                  <c:v>9.3000000000000096</c:v>
                </c:pt>
                <c:pt idx="174">
                  <c:v>9.4000000000000092</c:v>
                </c:pt>
                <c:pt idx="175">
                  <c:v>9.5000000000000107</c:v>
                </c:pt>
                <c:pt idx="176">
                  <c:v>9.6000000000000103</c:v>
                </c:pt>
                <c:pt idx="177">
                  <c:v>9.7000000000000099</c:v>
                </c:pt>
                <c:pt idx="178">
                  <c:v>9.8000000000000096</c:v>
                </c:pt>
                <c:pt idx="179">
                  <c:v>9.9000000000000092</c:v>
                </c:pt>
                <c:pt idx="180">
                  <c:v>10</c:v>
                </c:pt>
              </c:numCache>
            </c:numRef>
          </c:xVal>
          <c:yVal>
            <c:numRef>
              <c:f>'Frequency Data'!$T$2:$T$182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1.1260880286363109</c:v>
                </c:pt>
                <c:pt idx="79">
                  <c:v>1.1260880286363109</c:v>
                </c:pt>
                <c:pt idx="80">
                  <c:v>1.1260880286363109</c:v>
                </c:pt>
                <c:pt idx="81">
                  <c:v>1.1260880286363109</c:v>
                </c:pt>
                <c:pt idx="82">
                  <c:v>1.1260880286363109</c:v>
                </c:pt>
                <c:pt idx="83">
                  <c:v>1.1260880286363109</c:v>
                </c:pt>
                <c:pt idx="84">
                  <c:v>1.1260880286363109</c:v>
                </c:pt>
                <c:pt idx="85">
                  <c:v>1.1260880286363109</c:v>
                </c:pt>
                <c:pt idx="86">
                  <c:v>1.1260880286363109</c:v>
                </c:pt>
                <c:pt idx="87">
                  <c:v>1.1260880286363109</c:v>
                </c:pt>
                <c:pt idx="88">
                  <c:v>1.1260880286363109</c:v>
                </c:pt>
                <c:pt idx="89">
                  <c:v>1.1260880286363109</c:v>
                </c:pt>
                <c:pt idx="90">
                  <c:v>1.1260880286363109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93248"/>
        <c:axId val="175095168"/>
      </c:scatterChart>
      <c:valAx>
        <c:axId val="175093248"/>
        <c:scaling>
          <c:logBase val="10"/>
          <c:orientation val="minMax"/>
          <c:max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Normalized operating frequency (f/fr)</a:t>
                </a:r>
              </a:p>
            </c:rich>
          </c:tx>
          <c:layout>
            <c:manualLayout>
              <c:xMode val="edge"/>
              <c:yMode val="edge"/>
              <c:x val="0.18260464500760901"/>
              <c:y val="0.90865668779149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solidFill>
            <a:schemeClr val="tx2">
              <a:lumMod val="20000"/>
              <a:lumOff val="80000"/>
            </a:schemeClr>
          </a:solidFill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095168"/>
        <c:crosses val="autoZero"/>
        <c:crossBetween val="midCat"/>
        <c:majorUnit val="10"/>
        <c:minorUnit val="10"/>
      </c:valAx>
      <c:valAx>
        <c:axId val="1750951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2000"/>
                  <a:t>M</a:t>
                </a:r>
              </a:p>
            </c:rich>
          </c:tx>
          <c:layout/>
          <c:overlay val="0"/>
        </c:title>
        <c:numFmt formatCode="0.000" sourceLinked="1"/>
        <c:majorTickMark val="none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5093248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6633785482697003"/>
          <c:y val="0.131195641361156"/>
          <c:w val="0.23366209265645699"/>
          <c:h val="0.758818147731533"/>
        </c:manualLayout>
      </c:layout>
      <c:overlay val="0"/>
      <c:spPr>
        <a:solidFill>
          <a:schemeClr val="bg1">
            <a:lumMod val="85000"/>
          </a:schemeClr>
        </a:solidFill>
      </c:spPr>
      <c:txPr>
        <a:bodyPr/>
        <a:lstStyle/>
        <a:p>
          <a:pPr>
            <a:defRPr sz="1400" b="1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 w="25400">
      <a:solidFill>
        <a:schemeClr val="tx1"/>
      </a:solidFill>
    </a:ln>
  </c:spPr>
  <c:printSettings>
    <c:headerFooter/>
    <c:pageMargins b="0.750000000000001" l="0.70000000000000095" r="0.70000000000000095" t="0.750000000000001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fmlaLink="$F$4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Scroll" dx="20" fmlaLink="$G$16" horiz="1" inc="2" max="1600" min="400" page="10" val="1326"/>
</file>

<file path=xl/ctrlProps/ctrlProp4.xml><?xml version="1.0" encoding="utf-8"?>
<formControlPr xmlns="http://schemas.microsoft.com/office/spreadsheetml/2009/9/main" objectType="Scroll" dx="20" fmlaLink="$N$30" horiz="1" max="200" page="10" val="180"/>
</file>

<file path=xl/ctrlProps/ctrlProp5.xml><?xml version="1.0" encoding="utf-8"?>
<formControlPr xmlns="http://schemas.microsoft.com/office/spreadsheetml/2009/9/main" objectType="CheckBox" checked="Checked" fmlaLink="Q23" lockText="1" noThreeD="1"/>
</file>

<file path=xl/ctrlProps/ctrlProp6.xml><?xml version="1.0" encoding="utf-8"?>
<formControlPr xmlns="http://schemas.microsoft.com/office/spreadsheetml/2009/9/main" objectType="CheckBox" checked="Checked" fmlaLink="Q2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106444</xdr:colOff>
      <xdr:row>0</xdr:row>
      <xdr:rowOff>0</xdr:rowOff>
    </xdr:from>
    <xdr:to>
      <xdr:col>12</xdr:col>
      <xdr:colOff>1421</xdr:colOff>
      <xdr:row>20</xdr:row>
      <xdr:rowOff>114300</xdr:rowOff>
    </xdr:to>
    <xdr:graphicFrame macro="">
      <xdr:nvGraphicFramePr>
        <xdr:cNvPr id="2587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9525</xdr:rowOff>
    </xdr:from>
    <xdr:to>
      <xdr:col>1</xdr:col>
      <xdr:colOff>200025</xdr:colOff>
      <xdr:row>31</xdr:row>
      <xdr:rowOff>0</xdr:rowOff>
    </xdr:to>
    <xdr:sp macro="" textlink="">
      <xdr:nvSpPr>
        <xdr:cNvPr id="7" name="TextBox 3"/>
        <xdr:cNvSpPr txBox="1"/>
      </xdr:nvSpPr>
      <xdr:spPr>
        <a:xfrm>
          <a:off x="0" y="4762500"/>
          <a:ext cx="3009900" cy="1333499"/>
        </a:xfrm>
        <a:prstGeom prst="rect">
          <a:avLst/>
        </a:prstGeom>
        <a:solidFill>
          <a:srgbClr val="56F616"/>
        </a:solidFill>
      </xdr:spPr>
      <xdr:txBody>
        <a:bodyPr wrap="square" rtlCol="0"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9pPr>
        </a:lstStyle>
        <a:p>
          <a:r>
            <a:rPr lang="en-US" sz="1000" b="1" u="sng"/>
            <a:t>Initial design</a:t>
          </a:r>
          <a:r>
            <a:rPr lang="en-US" sz="1000" b="1"/>
            <a:t>:</a:t>
          </a:r>
        </a:p>
        <a:p>
          <a:r>
            <a:rPr lang="en-US" sz="1000" b="1"/>
            <a:t>Green fields: Customer Inputs</a:t>
          </a:r>
        </a:p>
        <a:p>
          <a:pPr marL="228600" indent="-228600">
            <a:buAutoNum type="arabicPeriod"/>
          </a:pPr>
          <a:r>
            <a:rPr lang="en-US" sz="1000" b="1"/>
            <a:t>Full / Half bridge options</a:t>
          </a:r>
        </a:p>
        <a:p>
          <a:pPr marL="228600" indent="-228600">
            <a:buAutoNum type="arabicPeriod"/>
          </a:pPr>
          <a:r>
            <a:rPr lang="en-US" sz="1000" b="1"/>
            <a:t>Input voltage range</a:t>
          </a:r>
        </a:p>
        <a:p>
          <a:pPr marL="228600" indent="-228600">
            <a:buAutoNum type="arabicPeriod"/>
          </a:pPr>
          <a:r>
            <a:rPr lang="en-US" sz="1000" b="1"/>
            <a:t>Output voltage</a:t>
          </a:r>
        </a:p>
        <a:p>
          <a:pPr marL="228600" indent="-228600">
            <a:buAutoNum type="arabicPeriod"/>
          </a:pPr>
          <a:r>
            <a:rPr lang="en-US" sz="1000" b="1"/>
            <a:t>Output power</a:t>
          </a:r>
        </a:p>
        <a:p>
          <a:pPr marL="228600" indent="-228600">
            <a:buAutoNum type="arabicPeriod"/>
          </a:pPr>
          <a:r>
            <a:rPr lang="en-US" sz="1000" b="1"/>
            <a:t>Nominal</a:t>
          </a:r>
          <a:r>
            <a:rPr lang="en-US" sz="1000" b="1" baseline="0"/>
            <a:t> resonant frequency</a:t>
          </a:r>
          <a:endParaRPr lang="en-US" sz="1000" b="1"/>
        </a:p>
      </xdr:txBody>
    </xdr:sp>
    <xdr:clientData/>
  </xdr:twoCellAnchor>
  <xdr:twoCellAnchor>
    <xdr:from>
      <xdr:col>6</xdr:col>
      <xdr:colOff>200025</xdr:colOff>
      <xdr:row>26</xdr:row>
      <xdr:rowOff>9525</xdr:rowOff>
    </xdr:from>
    <xdr:to>
      <xdr:col>12</xdr:col>
      <xdr:colOff>1953</xdr:colOff>
      <xdr:row>31</xdr:row>
      <xdr:rowOff>0</xdr:rowOff>
    </xdr:to>
    <xdr:sp macro="" textlink="">
      <xdr:nvSpPr>
        <xdr:cNvPr id="8" name="TextBox 3"/>
        <xdr:cNvSpPr txBox="1"/>
      </xdr:nvSpPr>
      <xdr:spPr>
        <a:xfrm>
          <a:off x="5591175" y="5029200"/>
          <a:ext cx="3011853" cy="11525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txBody>
        <a:bodyPr wrap="square" rtlCol="0"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9pPr>
        </a:lstStyle>
        <a:p>
          <a:r>
            <a:rPr lang="en-US" sz="1000" b="1" u="sng"/>
            <a:t>Advanced features</a:t>
          </a:r>
        </a:p>
        <a:p>
          <a:r>
            <a:rPr lang="en-US" sz="1000" b="1" u="none">
              <a:solidFill>
                <a:srgbClr val="00B050"/>
              </a:solidFill>
            </a:rPr>
            <a:t>1. Green fields: </a:t>
          </a:r>
        </a:p>
        <a:p>
          <a:r>
            <a:rPr lang="en-US" sz="1000" b="1" u="none">
              <a:solidFill>
                <a:srgbClr val="FF0000"/>
              </a:solidFill>
            </a:rPr>
            <a:t>    ROT</a:t>
          </a:r>
          <a:r>
            <a:rPr lang="en-US" sz="1000" b="1" u="none" baseline="0">
              <a:solidFill>
                <a:srgbClr val="FF0000"/>
              </a:solidFill>
            </a:rPr>
            <a:t> reduced power to optimize efficiency  profile</a:t>
          </a:r>
          <a:endParaRPr lang="en-US" sz="1000" b="1" u="none">
            <a:solidFill>
              <a:srgbClr val="FF0000"/>
            </a:solidFill>
          </a:endParaRPr>
        </a:p>
        <a:p>
          <a:r>
            <a:rPr lang="en-US" sz="1000" b="1"/>
            <a:t>2. </a:t>
          </a:r>
          <a:r>
            <a:rPr lang="en-US" sz="1000" b="1">
              <a:solidFill>
                <a:srgbClr val="0070C0"/>
              </a:solidFill>
            </a:rPr>
            <a:t>Blue</a:t>
          </a:r>
          <a:r>
            <a:rPr lang="en-US" sz="1000" b="1" baseline="0">
              <a:solidFill>
                <a:srgbClr val="0070C0"/>
              </a:solidFill>
            </a:rPr>
            <a:t> fields</a:t>
          </a:r>
          <a:r>
            <a:rPr lang="en-US" sz="1000" b="1">
              <a:solidFill>
                <a:srgbClr val="0070C0"/>
              </a:solidFill>
            </a:rPr>
            <a:t>: </a:t>
          </a:r>
        </a:p>
        <a:p>
          <a:r>
            <a:rPr lang="en-US" sz="1000" b="1"/>
            <a:t>    </a:t>
          </a:r>
          <a:r>
            <a:rPr lang="en-US" sz="1000" b="1">
              <a:solidFill>
                <a:srgbClr val="FF0000"/>
              </a:solidFill>
            </a:rPr>
            <a:t>Using slider control m -factor could be varied from 1/2 to</a:t>
          </a:r>
          <a:r>
            <a:rPr lang="en-US" sz="1000" b="1" baseline="0">
              <a:solidFill>
                <a:srgbClr val="FF0000"/>
              </a:solidFill>
            </a:rPr>
            <a:t> </a:t>
          </a:r>
          <a:r>
            <a:rPr lang="en-US" sz="1000" b="1">
              <a:solidFill>
                <a:srgbClr val="FF0000"/>
              </a:solidFill>
            </a:rPr>
            <a:t>2 of the nominal</a:t>
          </a:r>
          <a:r>
            <a:rPr lang="en-US" sz="1000" b="1" baseline="0">
              <a:solidFill>
                <a:srgbClr val="FF0000"/>
              </a:solidFill>
            </a:rPr>
            <a:t> m-factor.</a:t>
          </a:r>
          <a:endParaRPr lang="en-US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171450</xdr:colOff>
      <xdr:row>26</xdr:row>
      <xdr:rowOff>9524</xdr:rowOff>
    </xdr:from>
    <xdr:to>
      <xdr:col>6</xdr:col>
      <xdr:colOff>190500</xdr:colOff>
      <xdr:row>31</xdr:row>
      <xdr:rowOff>0</xdr:rowOff>
    </xdr:to>
    <xdr:sp macro="" textlink="">
      <xdr:nvSpPr>
        <xdr:cNvPr id="9" name="TextBox 3"/>
        <xdr:cNvSpPr txBox="1"/>
      </xdr:nvSpPr>
      <xdr:spPr>
        <a:xfrm>
          <a:off x="2981325" y="5048249"/>
          <a:ext cx="2600325" cy="1152526"/>
        </a:xfrm>
        <a:prstGeom prst="rect">
          <a:avLst/>
        </a:prstGeom>
        <a:solidFill>
          <a:srgbClr val="FFFF00"/>
        </a:solidFill>
      </xdr:spPr>
      <xdr:txBody>
        <a:bodyPr wrap="square" rtlCol="0">
          <a:noAutofit/>
        </a:bodyPr>
        <a:lstStyle>
          <a:defPPr>
            <a:defRPr lang="en-US"/>
          </a:defPPr>
          <a:lvl1pPr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1pPr>
          <a:lvl2pPr marL="4572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2pPr>
          <a:lvl3pPr marL="9144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3pPr>
          <a:lvl4pPr marL="13716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4pPr>
          <a:lvl5pPr marL="1828800" algn="l" defTabSz="457200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lvl9pPr>
        </a:lstStyle>
        <a:p>
          <a:r>
            <a:rPr lang="en-US" sz="1000" b="1" u="sng"/>
            <a:t>Design Output:</a:t>
          </a:r>
        </a:p>
        <a:p>
          <a:r>
            <a:rPr lang="en-US" sz="1000" b="1"/>
            <a:t>Yellow fields</a:t>
          </a:r>
        </a:p>
        <a:p>
          <a:pPr marL="228600" indent="-228600">
            <a:buFont typeface="Arial" pitchFamily="34" charset="0"/>
            <a:buChar char="•"/>
          </a:pPr>
          <a:r>
            <a:rPr lang="en-US" sz="1000" b="1"/>
            <a:t>Nominal</a:t>
          </a:r>
          <a:r>
            <a:rPr lang="en-US" sz="1000" b="1" baseline="0"/>
            <a:t> gain range (Mmax, Mmin)</a:t>
          </a:r>
          <a:endParaRPr lang="en-US" sz="1000" b="1"/>
        </a:p>
        <a:p>
          <a:pPr marL="228600" indent="-228600">
            <a:buFont typeface="Arial" pitchFamily="34" charset="0"/>
            <a:buChar char="•"/>
          </a:pPr>
          <a:r>
            <a:rPr lang="en-US" sz="1000" b="1"/>
            <a:t>Nominal DC load (Rdc)</a:t>
          </a:r>
        </a:p>
        <a:p>
          <a:pPr marL="228600" indent="-228600">
            <a:buFont typeface="Arial" pitchFamily="34" charset="0"/>
            <a:buChar char="•"/>
          </a:pPr>
          <a:r>
            <a:rPr lang="en-US" sz="1000" b="1"/>
            <a:t>Transfer function graph</a:t>
          </a:r>
        </a:p>
        <a:p>
          <a:pPr marL="228600" indent="-228600">
            <a:buFont typeface="Arial" pitchFamily="34" charset="0"/>
            <a:buChar char="•"/>
          </a:pPr>
          <a:r>
            <a:rPr lang="en-US" sz="1000" b="1"/>
            <a:t>Resonant tank parameters (Lr, Cr,Q)</a:t>
          </a:r>
        </a:p>
        <a:p>
          <a:pPr marL="228600" indent="-228600">
            <a:buFont typeface="Arial" pitchFamily="34" charset="0"/>
            <a:buChar char="•"/>
          </a:pPr>
          <a:r>
            <a:rPr lang="en-US" sz="1000" b="1"/>
            <a:t>Transformer parameters (Lm, n, m)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1</xdr:row>
          <xdr:rowOff>0</xdr:rowOff>
        </xdr:from>
        <xdr:to>
          <xdr:col>0</xdr:col>
          <xdr:colOff>990600</xdr:colOff>
          <xdr:row>2</xdr:row>
          <xdr:rowOff>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Full Bridge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1790700</xdr:colOff>
          <xdr:row>1</xdr:row>
          <xdr:rowOff>7620</xdr:rowOff>
        </xdr:from>
        <xdr:to>
          <xdr:col>0</xdr:col>
          <xdr:colOff>2781300</xdr:colOff>
          <xdr:row>2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Half Bridge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24</xdr:row>
          <xdr:rowOff>45720</xdr:rowOff>
        </xdr:from>
        <xdr:to>
          <xdr:col>0</xdr:col>
          <xdr:colOff>2788920</xdr:colOff>
          <xdr:row>25</xdr:row>
          <xdr:rowOff>0</xdr:rowOff>
        </xdr:to>
        <xdr:sp macro="" textlink="">
          <xdr:nvSpPr>
            <xdr:cNvPr id="2097" name="Scroll Bar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absolute">
    <xdr:from>
      <xdr:col>12</xdr:col>
      <xdr:colOff>16211</xdr:colOff>
      <xdr:row>0</xdr:row>
      <xdr:rowOff>2836</xdr:rowOff>
    </xdr:from>
    <xdr:to>
      <xdr:col>19</xdr:col>
      <xdr:colOff>8105</xdr:colOff>
      <xdr:row>26</xdr:row>
      <xdr:rowOff>16211</xdr:rowOff>
    </xdr:to>
    <xdr:graphicFrame macro="">
      <xdr:nvGraphicFramePr>
        <xdr:cNvPr id="1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29</xdr:row>
          <xdr:rowOff>0</xdr:rowOff>
        </xdr:from>
        <xdr:to>
          <xdr:col>13</xdr:col>
          <xdr:colOff>1699260</xdr:colOff>
          <xdr:row>29</xdr:row>
          <xdr:rowOff>190500</xdr:rowOff>
        </xdr:to>
        <xdr:sp macro="" textlink="">
          <xdr:nvSpPr>
            <xdr:cNvPr id="2099" name="Scroll Bar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27</xdr:row>
          <xdr:rowOff>7620</xdr:rowOff>
        </xdr:from>
        <xdr:to>
          <xdr:col>13</xdr:col>
          <xdr:colOff>1516380</xdr:colOff>
          <xdr:row>27</xdr:row>
          <xdr:rowOff>182880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 Fix Over  Load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28</xdr:row>
          <xdr:rowOff>7620</xdr:rowOff>
        </xdr:from>
        <xdr:to>
          <xdr:col>13</xdr:col>
          <xdr:colOff>1516380</xdr:colOff>
          <xdr:row>28</xdr:row>
          <xdr:rowOff>182880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     Variable Over Load </a:t>
              </a:r>
            </a:p>
          </xdr:txBody>
        </xdr:sp>
        <xdr:clientData/>
      </xdr:twoCellAnchor>
    </mc:Choice>
    <mc:Fallback/>
  </mc:AlternateContent>
  <xdr:oneCellAnchor>
    <xdr:from>
      <xdr:col>3</xdr:col>
      <xdr:colOff>476250</xdr:colOff>
      <xdr:row>19</xdr:row>
      <xdr:rowOff>28575</xdr:rowOff>
    </xdr:from>
    <xdr:ext cx="184731" cy="264560"/>
    <xdr:sp macro="" textlink="">
      <xdr:nvSpPr>
        <xdr:cNvPr id="2" name="TextBox 1"/>
        <xdr:cNvSpPr txBox="1"/>
      </xdr:nvSpPr>
      <xdr:spPr>
        <a:xfrm>
          <a:off x="4095750" y="36385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9</xdr:col>
      <xdr:colOff>600075</xdr:colOff>
      <xdr:row>18</xdr:row>
      <xdr:rowOff>95250</xdr:rowOff>
    </xdr:to>
    <xdr:pic>
      <xdr:nvPicPr>
        <xdr:cNvPr id="544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6086475" cy="33337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mladen.ivankovic@infineo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32"/>
  <sheetViews>
    <sheetView tabSelected="1" zoomScale="94" zoomScaleNormal="94" zoomScalePageLayoutView="130" workbookViewId="0">
      <selection activeCell="B4" sqref="B4"/>
    </sheetView>
  </sheetViews>
  <sheetFormatPr defaultColWidth="8.88671875" defaultRowHeight="14.4" x14ac:dyDescent="0.3"/>
  <cols>
    <col min="1" max="1" width="42.109375" customWidth="1"/>
    <col min="2" max="2" width="10.44140625" style="2" customWidth="1"/>
    <col min="3" max="3" width="1.6640625" customWidth="1"/>
    <col min="7" max="7" width="9.109375" customWidth="1"/>
    <col min="8" max="8" width="10.109375" customWidth="1"/>
    <col min="9" max="9" width="6.109375" customWidth="1"/>
    <col min="10" max="10" width="7.5546875" customWidth="1"/>
    <col min="11" max="11" width="7.88671875" customWidth="1"/>
    <col min="12" max="12" width="7.33203125" customWidth="1"/>
    <col min="13" max="13" width="5" customWidth="1"/>
    <col min="14" max="14" width="25.5546875" customWidth="1"/>
    <col min="15" max="15" width="10.109375" customWidth="1"/>
    <col min="16" max="16" width="10.44140625" customWidth="1"/>
    <col min="17" max="18" width="12" customWidth="1"/>
    <col min="19" max="19" width="12.33203125" customWidth="1"/>
    <col min="20" max="20" width="9.44140625" customWidth="1"/>
    <col min="21" max="21" width="9.33203125" customWidth="1"/>
    <col min="22" max="23" width="8.88671875" customWidth="1"/>
    <col min="24" max="24" width="9.88671875" customWidth="1"/>
    <col min="25" max="25" width="10.33203125" customWidth="1"/>
  </cols>
  <sheetData>
    <row r="1" spans="1:13" ht="16.5" thickBot="1" x14ac:dyDescent="0.3">
      <c r="A1" s="23" t="s">
        <v>0</v>
      </c>
      <c r="B1" s="24"/>
      <c r="C1" s="7"/>
      <c r="D1" s="7"/>
      <c r="E1" s="7"/>
      <c r="F1" s="7"/>
      <c r="G1" s="7"/>
      <c r="H1" s="7"/>
      <c r="I1" s="7"/>
      <c r="J1" s="7"/>
      <c r="K1" s="7"/>
      <c r="L1" s="10"/>
      <c r="M1" s="67"/>
    </row>
    <row r="2" spans="1:13" ht="17.25" customHeight="1" thickBot="1" x14ac:dyDescent="0.3">
      <c r="A2" s="22"/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67"/>
    </row>
    <row r="3" spans="1:13" ht="15.75" thickBot="1" x14ac:dyDescent="0.3">
      <c r="A3" s="8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67"/>
    </row>
    <row r="4" spans="1:13" ht="15" x14ac:dyDescent="0.25">
      <c r="A4" s="3" t="s">
        <v>62</v>
      </c>
      <c r="B4" s="84">
        <v>410</v>
      </c>
      <c r="C4" s="10"/>
      <c r="D4" s="10"/>
      <c r="E4" s="10"/>
      <c r="F4" s="12">
        <v>2</v>
      </c>
      <c r="G4" s="12"/>
      <c r="H4" s="10"/>
      <c r="I4" s="10"/>
      <c r="J4" s="10"/>
      <c r="K4" s="10"/>
      <c r="L4" s="10"/>
      <c r="M4" s="67"/>
    </row>
    <row r="5" spans="1:13" ht="15" x14ac:dyDescent="0.25">
      <c r="A5" s="70" t="s">
        <v>63</v>
      </c>
      <c r="B5" s="85">
        <v>385</v>
      </c>
      <c r="C5" s="10"/>
      <c r="D5" s="10"/>
      <c r="E5" s="10"/>
      <c r="F5" s="12"/>
      <c r="G5" s="12"/>
      <c r="H5" s="10"/>
      <c r="I5" s="10"/>
      <c r="J5" s="10"/>
      <c r="K5" s="10"/>
      <c r="L5" s="10"/>
      <c r="M5" s="67"/>
    </row>
    <row r="6" spans="1:13" ht="15" x14ac:dyDescent="0.25">
      <c r="A6" s="70" t="s">
        <v>64</v>
      </c>
      <c r="B6" s="85">
        <v>350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67"/>
    </row>
    <row r="7" spans="1:13" ht="17.25" customHeight="1" thickBot="1" x14ac:dyDescent="0.35">
      <c r="A7" s="5" t="s">
        <v>65</v>
      </c>
      <c r="B7" s="87">
        <v>0.03</v>
      </c>
      <c r="C7" s="10"/>
      <c r="D7" s="10"/>
      <c r="E7" s="10"/>
      <c r="F7" s="10"/>
      <c r="G7" s="10"/>
      <c r="H7" s="10"/>
      <c r="I7" s="10"/>
      <c r="J7" s="10"/>
      <c r="K7" s="10"/>
      <c r="L7" s="10"/>
      <c r="M7" s="67"/>
    </row>
    <row r="8" spans="1:13" ht="15" thickBot="1" x14ac:dyDescent="0.35">
      <c r="A8" s="68"/>
      <c r="B8" s="69"/>
      <c r="C8" s="10"/>
      <c r="D8" s="10"/>
      <c r="E8" s="10"/>
      <c r="F8" s="10"/>
      <c r="G8" s="10"/>
      <c r="H8" s="10"/>
      <c r="I8" s="10"/>
      <c r="J8" s="10"/>
      <c r="K8" s="10"/>
      <c r="L8" s="10"/>
      <c r="M8" s="67"/>
    </row>
    <row r="9" spans="1:13" x14ac:dyDescent="0.3">
      <c r="A9" s="3" t="s">
        <v>66</v>
      </c>
      <c r="B9" s="84">
        <v>12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67"/>
    </row>
    <row r="10" spans="1:13" x14ac:dyDescent="0.3">
      <c r="A10" s="70" t="s">
        <v>67</v>
      </c>
      <c r="B10" s="85">
        <v>12</v>
      </c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67"/>
    </row>
    <row r="11" spans="1:13" ht="15" customHeight="1" thickBot="1" x14ac:dyDescent="0.35">
      <c r="A11" s="5" t="s">
        <v>68</v>
      </c>
      <c r="B11" s="86">
        <v>50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67"/>
    </row>
    <row r="12" spans="1:13" s="68" customFormat="1" ht="10.5" customHeight="1" thickBot="1" x14ac:dyDescent="0.35">
      <c r="A12" s="14"/>
      <c r="B12" s="82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ht="15" customHeight="1" thickBot="1" x14ac:dyDescent="0.35">
      <c r="A13" s="45" t="s">
        <v>35</v>
      </c>
      <c r="B13" s="46">
        <v>154000</v>
      </c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67"/>
    </row>
    <row r="14" spans="1:13" s="17" customFormat="1" ht="9.75" customHeight="1" thickBot="1" x14ac:dyDescent="0.35">
      <c r="A14" s="68"/>
      <c r="B14" s="68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67"/>
    </row>
    <row r="15" spans="1:13" ht="15" thickBot="1" x14ac:dyDescent="0.35">
      <c r="A15" s="88" t="s">
        <v>72</v>
      </c>
      <c r="B15" s="83">
        <v>1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67"/>
    </row>
    <row r="16" spans="1:13" ht="15" thickBot="1" x14ac:dyDescent="0.35">
      <c r="A16" s="68"/>
      <c r="B16" s="69"/>
      <c r="C16" s="10"/>
      <c r="D16" s="10"/>
      <c r="E16" s="14"/>
      <c r="F16" s="29">
        <f>G16/1000</f>
        <v>1.3260000000000001</v>
      </c>
      <c r="G16" s="14">
        <v>1326</v>
      </c>
      <c r="H16" s="14"/>
      <c r="I16" s="14"/>
      <c r="J16" s="10"/>
      <c r="K16" s="10"/>
      <c r="L16" s="10"/>
      <c r="M16" s="67"/>
    </row>
    <row r="17" spans="1:19" x14ac:dyDescent="0.3">
      <c r="A17" s="76" t="s">
        <v>30</v>
      </c>
      <c r="B17" s="77">
        <f>B9*B11</f>
        <v>600</v>
      </c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67"/>
    </row>
    <row r="18" spans="1:19" x14ac:dyDescent="0.3">
      <c r="A18" s="78" t="s">
        <v>31</v>
      </c>
      <c r="B18" s="79">
        <f>B9*G23*Main!F4/(B6-B7*B5)</f>
        <v>1.171664943123061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67"/>
    </row>
    <row r="19" spans="1:19" x14ac:dyDescent="0.3">
      <c r="A19" s="78" t="s">
        <v>32</v>
      </c>
      <c r="B19" s="79">
        <f>B10*G23*Main!F4/(B4+B7*B5)</f>
        <v>0.94069505396750086</v>
      </c>
      <c r="C19" s="14"/>
      <c r="D19" s="28"/>
      <c r="E19" s="10"/>
      <c r="F19" s="10"/>
      <c r="G19" s="10"/>
      <c r="H19" s="10"/>
      <c r="I19" s="10"/>
      <c r="J19" s="10"/>
      <c r="K19" s="10"/>
      <c r="L19" s="10"/>
      <c r="M19" s="67"/>
    </row>
    <row r="20" spans="1:19" ht="15" thickBot="1" x14ac:dyDescent="0.35">
      <c r="A20" s="80" t="s">
        <v>61</v>
      </c>
      <c r="B20" s="81">
        <f>B9/B11</f>
        <v>0.24</v>
      </c>
      <c r="C20" s="14"/>
      <c r="D20" s="28"/>
      <c r="E20" s="10"/>
      <c r="F20" s="10"/>
      <c r="G20" s="10"/>
      <c r="H20" s="10"/>
      <c r="I20" s="10"/>
      <c r="J20" s="10"/>
      <c r="K20" s="10"/>
      <c r="L20" s="10"/>
      <c r="M20" s="67"/>
    </row>
    <row r="21" spans="1:19" ht="9.75" customHeight="1" thickBot="1" x14ac:dyDescent="0.35">
      <c r="A21" s="47"/>
      <c r="B21" s="27"/>
      <c r="C21" s="9"/>
      <c r="D21" s="10"/>
      <c r="E21" s="10"/>
      <c r="F21" s="14"/>
      <c r="G21" s="14"/>
      <c r="H21" s="10"/>
      <c r="I21" s="10"/>
      <c r="J21" s="10"/>
      <c r="K21" s="10"/>
      <c r="L21" s="10"/>
      <c r="M21" s="67"/>
    </row>
    <row r="22" spans="1:19" ht="16.2" thickBot="1" x14ac:dyDescent="0.35">
      <c r="A22" s="53" t="s">
        <v>36</v>
      </c>
      <c r="B22" s="50"/>
      <c r="C22" s="49"/>
      <c r="D22" s="64" t="s">
        <v>13</v>
      </c>
      <c r="E22" s="65" t="s">
        <v>14</v>
      </c>
      <c r="F22" s="65" t="s">
        <v>15</v>
      </c>
      <c r="G22" s="65" t="s">
        <v>24</v>
      </c>
      <c r="H22" s="65" t="s">
        <v>69</v>
      </c>
      <c r="I22" s="65" t="s">
        <v>16</v>
      </c>
      <c r="J22" s="65" t="s">
        <v>17</v>
      </c>
      <c r="K22" s="65" t="s">
        <v>37</v>
      </c>
      <c r="L22" s="66" t="s">
        <v>38</v>
      </c>
      <c r="M22" s="67"/>
    </row>
    <row r="23" spans="1:19" ht="30.75" customHeight="1" thickBot="1" x14ac:dyDescent="0.35">
      <c r="A23" s="51" t="s">
        <v>70</v>
      </c>
      <c r="B23" s="52"/>
      <c r="C23" s="44"/>
      <c r="D23" s="54">
        <f>Calculation!$B$19</f>
        <v>1.8535118341348267E-4</v>
      </c>
      <c r="E23" s="55">
        <f>Calculation!$B$21</f>
        <v>1.5481488723608539E-5</v>
      </c>
      <c r="F23" s="55">
        <f>Calculation!$B$23</f>
        <v>6.8989992992632996E-8</v>
      </c>
      <c r="G23" s="56">
        <f>Calculation!$B$7</f>
        <v>16.522916666666667</v>
      </c>
      <c r="H23" s="57">
        <f>Calculation!$B$11</f>
        <v>53.109829637698319</v>
      </c>
      <c r="I23" s="58">
        <f>Calculation!$B$25</f>
        <v>12.972439261014406</v>
      </c>
      <c r="J23" s="59">
        <f>Calculation!$B$27</f>
        <v>0.28205798671041499</v>
      </c>
      <c r="K23" s="56">
        <f>Calculation!$B$5/(2*PI())/B13</f>
        <v>0.48499999999999999</v>
      </c>
      <c r="L23" s="60">
        <f>'Frequency Data'!$J$186</f>
        <v>1.4</v>
      </c>
      <c r="M23" s="71"/>
      <c r="P23">
        <f>IF(Q23,1,0)</f>
        <v>1</v>
      </c>
      <c r="Q23" t="b">
        <v>1</v>
      </c>
    </row>
    <row r="24" spans="1:19" x14ac:dyDescent="0.3">
      <c r="A24" s="89" t="s">
        <v>71</v>
      </c>
      <c r="B24" s="90">
        <f>F16</f>
        <v>1.3260000000000001</v>
      </c>
      <c r="C24" s="91"/>
      <c r="D24" s="92">
        <f>Calculation!$D$19</f>
        <v>1.3978218960292808E-4</v>
      </c>
      <c r="E24" s="93">
        <f>Calculation!$D$21</f>
        <v>2.6772498906016784E-5</v>
      </c>
      <c r="F24" s="93">
        <f>Calculation!$D$23</f>
        <v>3.9894213921033906E-8</v>
      </c>
      <c r="G24" s="94">
        <f>Calculation!$D$7</f>
        <v>16.522916666666667</v>
      </c>
      <c r="H24" s="95">
        <f>Calculation!$D$11</f>
        <v>53.109829637698319</v>
      </c>
      <c r="I24" s="96">
        <f>Calculation!$D$25</f>
        <v>6.22111103986314</v>
      </c>
      <c r="J24" s="97">
        <f>Calculation!$D$27</f>
        <v>0.4877694435886103</v>
      </c>
      <c r="K24" s="94">
        <f>Calculation!$D$5/(2*PI())/$B$13</f>
        <v>0.64311000000000007</v>
      </c>
      <c r="L24" s="98">
        <f>'Frequency Data'!$L$186</f>
        <v>1.2</v>
      </c>
      <c r="M24" s="72"/>
      <c r="P24">
        <f>IF(Q24,1,0)</f>
        <v>1</v>
      </c>
      <c r="Q24" t="b">
        <v>1</v>
      </c>
    </row>
    <row r="25" spans="1:19" ht="15" thickBot="1" x14ac:dyDescent="0.35">
      <c r="A25" s="99"/>
      <c r="B25" s="100"/>
      <c r="C25" s="101"/>
      <c r="D25" s="102"/>
      <c r="E25" s="103"/>
      <c r="F25" s="103"/>
      <c r="G25" s="103"/>
      <c r="H25" s="100"/>
      <c r="I25" s="104"/>
      <c r="J25" s="105"/>
      <c r="K25" s="104"/>
      <c r="L25" s="106"/>
      <c r="M25" s="73"/>
    </row>
    <row r="26" spans="1:19" ht="6" customHeight="1" thickBot="1" x14ac:dyDescent="0.35">
      <c r="A26" s="99"/>
      <c r="B26" s="107"/>
      <c r="C26" s="108"/>
      <c r="D26" s="109"/>
      <c r="E26" s="110"/>
      <c r="F26" s="110"/>
      <c r="G26" s="110"/>
      <c r="H26" s="111"/>
      <c r="I26" s="112"/>
      <c r="J26" s="113"/>
      <c r="K26" s="112"/>
      <c r="L26" s="114"/>
      <c r="M26" s="73"/>
    </row>
    <row r="27" spans="1:19" ht="29.4" thickBot="1" x14ac:dyDescent="0.35">
      <c r="A27" s="18"/>
      <c r="B27" s="19"/>
      <c r="C27" s="20"/>
      <c r="D27" s="13"/>
      <c r="E27" s="13"/>
      <c r="F27" s="13"/>
      <c r="G27" s="13"/>
      <c r="H27" s="13"/>
      <c r="I27" s="13"/>
      <c r="J27" s="13"/>
      <c r="K27" s="13"/>
      <c r="L27" s="11"/>
      <c r="M27" s="115"/>
      <c r="N27" s="116"/>
      <c r="O27" s="117"/>
      <c r="P27" s="118" t="s">
        <v>17</v>
      </c>
      <c r="Q27" s="119" t="s">
        <v>56</v>
      </c>
      <c r="R27" s="120" t="s">
        <v>58</v>
      </c>
      <c r="S27" s="121" t="s">
        <v>57</v>
      </c>
    </row>
    <row r="28" spans="1:19" x14ac:dyDescent="0.3">
      <c r="A28" s="4"/>
      <c r="B28" s="25"/>
      <c r="C28" s="6"/>
      <c r="D28" s="6"/>
      <c r="E28" s="6"/>
      <c r="F28" s="6"/>
      <c r="G28" s="6"/>
      <c r="H28" s="6"/>
      <c r="I28" s="6"/>
      <c r="J28" s="6"/>
      <c r="K28" s="6"/>
      <c r="L28" s="15"/>
      <c r="M28" s="122"/>
      <c r="N28" s="123"/>
      <c r="O28" s="124">
        <v>0.1</v>
      </c>
      <c r="P28" s="125">
        <f>Calculation!$G$27</f>
        <v>0.53654638794747145</v>
      </c>
      <c r="Q28" s="126">
        <f>Calculation!$G$33*IF(Q23,1,0)</f>
        <v>0.68944915940816098</v>
      </c>
      <c r="R28" s="127">
        <f>'Frequency Data'!$O$188*IF(Q23,1,0)</f>
        <v>1.1260880286363109</v>
      </c>
      <c r="S28" s="128">
        <f>IF(Q23,1,0)*'Frequency Data'!$N$186</f>
        <v>1.2</v>
      </c>
    </row>
    <row r="29" spans="1:19" x14ac:dyDescent="0.3">
      <c r="A29" s="4"/>
      <c r="B29" s="25"/>
      <c r="C29" s="6"/>
      <c r="D29" s="6"/>
      <c r="E29" s="6"/>
      <c r="F29" s="6"/>
      <c r="G29" s="6"/>
      <c r="H29" s="6"/>
      <c r="I29" s="6"/>
      <c r="J29" s="6"/>
      <c r="K29" s="6"/>
      <c r="L29" s="15"/>
      <c r="M29" s="129"/>
      <c r="N29" s="123" t="s">
        <v>39</v>
      </c>
      <c r="O29" s="130">
        <f>$N$30/100-0.99</f>
        <v>0.81</v>
      </c>
      <c r="P29" s="125">
        <f>Calculation!$H$27</f>
        <v>0.88286269289538466</v>
      </c>
      <c r="Q29" s="131">
        <f>Calculation!$H$33*IF(Q24,1,0)</f>
        <v>0.87661572632837581</v>
      </c>
      <c r="R29" s="132">
        <f>IF(Q24,1,0)*'Frequency Data'!$S$189</f>
        <v>1.0301673701321339</v>
      </c>
      <c r="S29" s="133">
        <f>IF(Q24,1,0)*'Frequency Data'!$R$186</f>
        <v>1.1000000000000001</v>
      </c>
    </row>
    <row r="30" spans="1:19" ht="15" thickBot="1" x14ac:dyDescent="0.35">
      <c r="A30" s="4"/>
      <c r="B30" s="25"/>
      <c r="C30" s="6"/>
      <c r="D30" s="6"/>
      <c r="E30" s="6"/>
      <c r="F30" s="6"/>
      <c r="G30" s="6"/>
      <c r="H30" s="6"/>
      <c r="I30" s="6"/>
      <c r="J30" s="6"/>
      <c r="K30" s="6"/>
      <c r="L30" s="15"/>
      <c r="M30" s="99"/>
      <c r="N30" s="134">
        <v>180</v>
      </c>
      <c r="O30" s="135"/>
      <c r="P30" s="136"/>
      <c r="Q30" s="137"/>
      <c r="R30" s="135"/>
      <c r="S30" s="138"/>
    </row>
    <row r="31" spans="1:19" ht="15" thickBot="1" x14ac:dyDescent="0.35">
      <c r="A31" s="4"/>
      <c r="B31" s="25"/>
      <c r="C31" s="6"/>
      <c r="D31" s="6"/>
      <c r="E31" s="6"/>
      <c r="F31" s="6"/>
      <c r="G31" s="6"/>
      <c r="H31" s="6"/>
      <c r="I31" s="6"/>
      <c r="J31" s="6"/>
      <c r="K31" s="6"/>
      <c r="L31" s="15"/>
      <c r="M31" s="139"/>
      <c r="N31" s="140"/>
      <c r="O31" s="140"/>
      <c r="P31" s="140"/>
      <c r="Q31" s="140"/>
      <c r="R31" s="140"/>
      <c r="S31" s="141"/>
    </row>
    <row r="32" spans="1:19" x14ac:dyDescent="0.3">
      <c r="A32" s="74"/>
      <c r="B32" s="75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67"/>
      <c r="N32" s="67"/>
      <c r="O32" s="67"/>
      <c r="P32" s="67"/>
      <c r="Q32" s="67"/>
      <c r="R32" s="67"/>
      <c r="S32" s="6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0</xdr:col>
                    <xdr:colOff>7620</xdr:colOff>
                    <xdr:row>1</xdr:row>
                    <xdr:rowOff>0</xdr:rowOff>
                  </from>
                  <to>
                    <xdr:col>0</xdr:col>
                    <xdr:colOff>990600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0</xdr:col>
                    <xdr:colOff>1790700</xdr:colOff>
                    <xdr:row>1</xdr:row>
                    <xdr:rowOff>7620</xdr:rowOff>
                  </from>
                  <to>
                    <xdr:col>0</xdr:col>
                    <xdr:colOff>2781300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6" name="Scroll Bar 49">
              <controlPr defaultSize="0" autoPict="0">
                <anchor moveWithCells="1">
                  <from>
                    <xdr:col>0</xdr:col>
                    <xdr:colOff>7620</xdr:colOff>
                    <xdr:row>24</xdr:row>
                    <xdr:rowOff>45720</xdr:rowOff>
                  </from>
                  <to>
                    <xdr:col>0</xdr:col>
                    <xdr:colOff>2788920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7" name="Scroll Bar 51">
              <controlPr defaultSize="0" autoPict="0">
                <anchor moveWithCells="1">
                  <from>
                    <xdr:col>13</xdr:col>
                    <xdr:colOff>7620</xdr:colOff>
                    <xdr:row>29</xdr:row>
                    <xdr:rowOff>0</xdr:rowOff>
                  </from>
                  <to>
                    <xdr:col>13</xdr:col>
                    <xdr:colOff>1699260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8" name="Check Box 52">
              <controlPr defaultSize="0" autoFill="0" autoLine="0" autoPict="0" altText="Overload curve (%)">
                <anchor moveWithCells="1">
                  <from>
                    <xdr:col>12</xdr:col>
                    <xdr:colOff>0</xdr:colOff>
                    <xdr:row>27</xdr:row>
                    <xdr:rowOff>7620</xdr:rowOff>
                  </from>
                  <to>
                    <xdr:col>13</xdr:col>
                    <xdr:colOff>1516380</xdr:colOff>
                    <xdr:row>27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9" name="Check Box 53">
              <controlPr defaultSize="0" autoFill="0" autoLine="0" autoPict="0" altText="Overload curve (%)">
                <anchor moveWithCells="1">
                  <from>
                    <xdr:col>12</xdr:col>
                    <xdr:colOff>0</xdr:colOff>
                    <xdr:row>28</xdr:row>
                    <xdr:rowOff>7620</xdr:rowOff>
                  </from>
                  <to>
                    <xdr:col>13</xdr:col>
                    <xdr:colOff>1516380</xdr:colOff>
                    <xdr:row>28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39"/>
  <sheetViews>
    <sheetView zoomScaleNormal="100" workbookViewId="0">
      <selection activeCell="D26" sqref="D26"/>
    </sheetView>
  </sheetViews>
  <sheetFormatPr defaultColWidth="8.88671875" defaultRowHeight="14.4" x14ac:dyDescent="0.3"/>
  <cols>
    <col min="1" max="1" width="51.88671875" customWidth="1"/>
    <col min="2" max="2" width="14.33203125" style="43" customWidth="1"/>
    <col min="3" max="3" width="2.88671875" customWidth="1"/>
    <col min="4" max="4" width="16.33203125" style="36" customWidth="1"/>
    <col min="7" max="7" width="13.44140625" customWidth="1"/>
    <col min="8" max="8" width="16.88671875" customWidth="1"/>
  </cols>
  <sheetData>
    <row r="1" spans="1:8" ht="31.5" customHeight="1" x14ac:dyDescent="0.2">
      <c r="A1" s="30"/>
      <c r="B1" s="40" t="s">
        <v>19</v>
      </c>
      <c r="C1" s="16"/>
      <c r="D1" s="34" t="s">
        <v>27</v>
      </c>
      <c r="G1" t="s">
        <v>40</v>
      </c>
      <c r="H1" t="s">
        <v>41</v>
      </c>
    </row>
    <row r="2" spans="1:8" ht="15" x14ac:dyDescent="0.2">
      <c r="A2" s="30" t="s">
        <v>20</v>
      </c>
      <c r="B2" s="33">
        <f>Main!B13</f>
        <v>154000</v>
      </c>
      <c r="D2" s="35">
        <f>$B$2</f>
        <v>154000</v>
      </c>
      <c r="G2" s="2">
        <f t="shared" ref="G2:G7" si="0">D2</f>
        <v>154000</v>
      </c>
      <c r="H2" s="2">
        <f t="shared" ref="H2:H7" si="1">G2</f>
        <v>154000</v>
      </c>
    </row>
    <row r="3" spans="1:8" x14ac:dyDescent="0.3">
      <c r="A3" s="30" t="s">
        <v>7</v>
      </c>
      <c r="B3" s="33">
        <f>2*PI()*Main!B13</f>
        <v>967610.53730565624</v>
      </c>
      <c r="D3" s="35">
        <f>$B$3</f>
        <v>967610.53730565624</v>
      </c>
      <c r="G3" s="2">
        <f t="shared" si="0"/>
        <v>967610.53730565624</v>
      </c>
      <c r="H3" s="2">
        <f t="shared" si="1"/>
        <v>967610.53730565624</v>
      </c>
    </row>
    <row r="4" spans="1:8" ht="15" x14ac:dyDescent="0.2">
      <c r="A4" s="32" t="s">
        <v>21</v>
      </c>
      <c r="B4" s="33">
        <f>0.485*B2</f>
        <v>74690</v>
      </c>
      <c r="D4" s="35">
        <f>B4*Main!B24</f>
        <v>99038.94</v>
      </c>
      <c r="G4" s="2">
        <f t="shared" si="0"/>
        <v>99038.94</v>
      </c>
      <c r="H4" s="2">
        <f t="shared" si="1"/>
        <v>99038.94</v>
      </c>
    </row>
    <row r="5" spans="1:8" ht="15" x14ac:dyDescent="0.2">
      <c r="A5" s="32" t="s">
        <v>26</v>
      </c>
      <c r="B5" s="33">
        <f>2*PI()*B4</f>
        <v>469291.11059324327</v>
      </c>
      <c r="D5" s="35">
        <f>2*PI()*D4</f>
        <v>622280.01264664065</v>
      </c>
      <c r="G5" s="2">
        <f t="shared" si="0"/>
        <v>622280.01264664065</v>
      </c>
      <c r="H5" s="2">
        <f t="shared" si="1"/>
        <v>622280.01264664065</v>
      </c>
    </row>
    <row r="6" spans="1:8" x14ac:dyDescent="0.3">
      <c r="A6" s="30"/>
      <c r="B6" s="41"/>
      <c r="G6" s="2"/>
      <c r="H6" s="2"/>
    </row>
    <row r="7" spans="1:8" x14ac:dyDescent="0.3">
      <c r="A7" s="30" t="s">
        <v>1</v>
      </c>
      <c r="B7" s="41">
        <f>Main!B5*(1+Main!B7)/Main!B10/Main!F4</f>
        <v>16.522916666666667</v>
      </c>
      <c r="D7" s="37">
        <f>$B$7</f>
        <v>16.522916666666667</v>
      </c>
      <c r="G7" s="1">
        <f t="shared" si="0"/>
        <v>16.522916666666667</v>
      </c>
      <c r="H7" s="1">
        <f t="shared" si="1"/>
        <v>16.522916666666667</v>
      </c>
    </row>
    <row r="8" spans="1:8" x14ac:dyDescent="0.3">
      <c r="A8" s="30"/>
      <c r="B8" s="33"/>
      <c r="G8" s="2"/>
      <c r="H8" s="2"/>
    </row>
    <row r="9" spans="1:8" x14ac:dyDescent="0.3">
      <c r="A9" s="30" t="s">
        <v>10</v>
      </c>
      <c r="B9" s="33">
        <f>Main!B9^2/Main!B17</f>
        <v>0.24</v>
      </c>
      <c r="D9" s="35">
        <f>$B$9/Main!B15</f>
        <v>0.24</v>
      </c>
      <c r="G9" s="2">
        <f>D9/(1+G31)</f>
        <v>0.21818181818181814</v>
      </c>
      <c r="H9" s="2">
        <f>D9/(1+H31)</f>
        <v>0.13259668508287292</v>
      </c>
    </row>
    <row r="10" spans="1:8" x14ac:dyDescent="0.3">
      <c r="A10" s="30" t="s">
        <v>25</v>
      </c>
      <c r="B10" s="33">
        <f>8/PI()^2*B9</f>
        <v>0.19453667259328852</v>
      </c>
      <c r="D10" s="35">
        <f>8/PI()^2*D9</f>
        <v>0.19453667259328852</v>
      </c>
      <c r="G10" s="33">
        <f>8/PI()^2*G9</f>
        <v>0.17685152053935319</v>
      </c>
      <c r="H10" s="33">
        <f>8/PI()^2*H9</f>
        <v>0.10747882463717598</v>
      </c>
    </row>
    <row r="11" spans="1:8" x14ac:dyDescent="0.3">
      <c r="A11" s="30" t="s">
        <v>12</v>
      </c>
      <c r="B11" s="33">
        <f>$B$10*B7^2</f>
        <v>53.109829637698319</v>
      </c>
      <c r="D11" s="35">
        <f>$D$10*D7^2</f>
        <v>53.109829637698319</v>
      </c>
      <c r="G11" s="33">
        <f>$G$10*G7^2</f>
        <v>48.28166330699846</v>
      </c>
      <c r="H11" s="33">
        <f>$H$10*H7^2</f>
        <v>29.342447313645479</v>
      </c>
    </row>
    <row r="12" spans="1:8" x14ac:dyDescent="0.3">
      <c r="A12" s="30" t="s">
        <v>23</v>
      </c>
      <c r="B12" s="33">
        <f>Main!B9/Main!B11</f>
        <v>0.24</v>
      </c>
      <c r="D12" s="33">
        <f>D9</f>
        <v>0.24</v>
      </c>
      <c r="G12" s="33">
        <f>Main!B9/Main!B11/(1+G31)</f>
        <v>0.21818181818181814</v>
      </c>
      <c r="H12" s="33">
        <f>Main!B9/Main!B11/(1+H31)</f>
        <v>0.13259668508287292</v>
      </c>
    </row>
    <row r="13" spans="1:8" x14ac:dyDescent="0.3">
      <c r="A13" s="30" t="s">
        <v>11</v>
      </c>
      <c r="B13" s="33">
        <f>B12*8/PI()^2</f>
        <v>0.19453667259328852</v>
      </c>
      <c r="D13" s="33">
        <f>8/PI()^2*D12</f>
        <v>0.19453667259328852</v>
      </c>
      <c r="G13" s="33">
        <f>G12*8/PI()^2</f>
        <v>0.17685152053935319</v>
      </c>
      <c r="H13" s="33">
        <f>H12*8/PI()^2</f>
        <v>0.10747882463717598</v>
      </c>
    </row>
    <row r="14" spans="1:8" x14ac:dyDescent="0.3">
      <c r="A14" s="30" t="s">
        <v>12</v>
      </c>
      <c r="B14" s="33">
        <f>Main!G23^2*Calculation!B13</f>
        <v>53.109829637698319</v>
      </c>
      <c r="D14" s="33">
        <f>D13*D7^2</f>
        <v>53.109829637698319</v>
      </c>
      <c r="G14" s="33">
        <f>Main!G23^2*Calculation!G13</f>
        <v>48.28166330699846</v>
      </c>
      <c r="H14" s="33">
        <f>Main!G23^2*Calculation!H13</f>
        <v>29.342447313645479</v>
      </c>
    </row>
    <row r="15" spans="1:8" x14ac:dyDescent="0.3">
      <c r="A15" s="30"/>
      <c r="B15" s="33"/>
      <c r="G15" s="2"/>
      <c r="H15" s="2"/>
    </row>
    <row r="16" spans="1:8" x14ac:dyDescent="0.3">
      <c r="A16" s="30"/>
      <c r="B16" s="33"/>
      <c r="G16" s="2"/>
      <c r="H16" s="2"/>
    </row>
    <row r="17" spans="1:8" x14ac:dyDescent="0.3">
      <c r="A17" s="31" t="s">
        <v>2</v>
      </c>
      <c r="B17" s="33">
        <f>ASIN(1/Main!B18)</f>
        <v>1.0226391987838983</v>
      </c>
      <c r="D17" s="35">
        <f>$B$17</f>
        <v>1.0226391987838983</v>
      </c>
      <c r="G17" s="2">
        <f t="shared" ref="G17:G25" si="2">D17</f>
        <v>1.0226391987838983</v>
      </c>
      <c r="H17" s="2">
        <f t="shared" ref="H17:H25" si="3">D17</f>
        <v>1.0226391987838983</v>
      </c>
    </row>
    <row r="18" spans="1:8" x14ac:dyDescent="0.3">
      <c r="A18" s="30"/>
      <c r="B18" s="33"/>
      <c r="G18" s="2"/>
      <c r="H18" s="2"/>
    </row>
    <row r="19" spans="1:8" x14ac:dyDescent="0.3">
      <c r="A19" s="30" t="s">
        <v>3</v>
      </c>
      <c r="B19" s="33">
        <f>B11*TAN(B17)/(B5)</f>
        <v>1.8535118341348267E-4</v>
      </c>
      <c r="D19" s="35">
        <f>D11*TAN(D17)/D5</f>
        <v>1.3978218960292808E-4</v>
      </c>
      <c r="G19" s="2">
        <f t="shared" si="2"/>
        <v>1.3978218960292808E-4</v>
      </c>
      <c r="H19" s="2">
        <f t="shared" si="3"/>
        <v>1.3978218960292808E-4</v>
      </c>
    </row>
    <row r="20" spans="1:8" x14ac:dyDescent="0.3">
      <c r="A20" s="30"/>
      <c r="B20" s="33"/>
      <c r="G20" s="2"/>
      <c r="H20" s="2"/>
    </row>
    <row r="21" spans="1:8" x14ac:dyDescent="0.3">
      <c r="A21" s="30" t="s">
        <v>4</v>
      </c>
      <c r="B21" s="33">
        <f>B19*COS(B17)^2/((Main!B13/B4)^2-1)</f>
        <v>1.5481488723608539E-5</v>
      </c>
      <c r="D21" s="33">
        <f>D19*COS(D17)^2/((Main!B13/D4)^2-1)</f>
        <v>2.6772498906016784E-5</v>
      </c>
      <c r="G21" s="2">
        <f t="shared" si="2"/>
        <v>2.6772498906016784E-5</v>
      </c>
      <c r="H21" s="2">
        <f t="shared" si="3"/>
        <v>2.6772498906016784E-5</v>
      </c>
    </row>
    <row r="22" spans="1:8" x14ac:dyDescent="0.3">
      <c r="A22" s="30"/>
      <c r="B22" s="33"/>
      <c r="G22" s="2"/>
      <c r="H22" s="2"/>
    </row>
    <row r="23" spans="1:8" x14ac:dyDescent="0.3">
      <c r="A23" s="30" t="s">
        <v>9</v>
      </c>
      <c r="B23" s="33">
        <f>1/(B3^2*B21)</f>
        <v>6.8989992992632996E-8</v>
      </c>
      <c r="D23" s="35">
        <f>1/(D3^2*D21)</f>
        <v>3.9894213921033906E-8</v>
      </c>
      <c r="G23" s="2">
        <f t="shared" si="2"/>
        <v>3.9894213921033906E-8</v>
      </c>
      <c r="H23" s="2">
        <f t="shared" si="3"/>
        <v>3.9894213921033906E-8</v>
      </c>
    </row>
    <row r="24" spans="1:8" x14ac:dyDescent="0.3">
      <c r="A24" s="30"/>
      <c r="B24" s="33"/>
      <c r="G24" s="2"/>
      <c r="H24" s="2"/>
    </row>
    <row r="25" spans="1:8" s="36" customFormat="1" x14ac:dyDescent="0.3">
      <c r="A25" s="39" t="s">
        <v>5</v>
      </c>
      <c r="B25" s="41">
        <f>(B19+B21)/B21</f>
        <v>12.972439261014406</v>
      </c>
      <c r="D25" s="41">
        <f>(D19+D21)/D21</f>
        <v>6.22111103986314</v>
      </c>
      <c r="G25" s="35">
        <f t="shared" si="2"/>
        <v>6.22111103986314</v>
      </c>
      <c r="H25" s="35">
        <f t="shared" si="3"/>
        <v>6.22111103986314</v>
      </c>
    </row>
    <row r="26" spans="1:8" x14ac:dyDescent="0.3">
      <c r="A26" s="30"/>
      <c r="B26" s="33"/>
      <c r="G26" s="2"/>
      <c r="H26" s="2"/>
    </row>
    <row r="27" spans="1:8" x14ac:dyDescent="0.3">
      <c r="A27" s="30" t="s">
        <v>8</v>
      </c>
      <c r="B27" s="42">
        <f>B3*B21/B11</f>
        <v>0.28205798671041499</v>
      </c>
      <c r="D27" s="38">
        <f>D3*D21/D11</f>
        <v>0.4877694435886103</v>
      </c>
      <c r="G27" s="2">
        <f>G3*G21/G11</f>
        <v>0.53654638794747145</v>
      </c>
      <c r="H27" s="2">
        <f>H3*H21/H11</f>
        <v>0.88286269289538466</v>
      </c>
    </row>
    <row r="29" spans="1:8" x14ac:dyDescent="0.3">
      <c r="A29" s="30" t="s">
        <v>22</v>
      </c>
      <c r="B29" s="43" t="str">
        <f>COMPLEX(0,1)</f>
        <v>i</v>
      </c>
    </row>
    <row r="31" spans="1:8" x14ac:dyDescent="0.3">
      <c r="A31" s="30" t="s">
        <v>42</v>
      </c>
      <c r="G31" s="61">
        <f>Main!$O$28</f>
        <v>0.1</v>
      </c>
      <c r="H31" s="62">
        <f>Main!$O$29</f>
        <v>0.81</v>
      </c>
    </row>
    <row r="33" spans="1:8" x14ac:dyDescent="0.3">
      <c r="A33" s="30" t="s">
        <v>43</v>
      </c>
      <c r="G33" s="48">
        <f>1/SQRT(G38)</f>
        <v>0.68944915940816098</v>
      </c>
      <c r="H33" s="48">
        <f>1/SQRT(H38)</f>
        <v>0.87661572632837581</v>
      </c>
    </row>
    <row r="35" spans="1:8" x14ac:dyDescent="0.3">
      <c r="A35" s="30" t="s">
        <v>59</v>
      </c>
      <c r="G35" s="2">
        <f>G3*G19/G11</f>
        <v>2.8013682695112347</v>
      </c>
      <c r="H35" s="2">
        <f>H3*H19/H11</f>
        <v>4.609524152559394</v>
      </c>
    </row>
    <row r="36" spans="1:8" x14ac:dyDescent="0.3">
      <c r="A36" s="30" t="s">
        <v>60</v>
      </c>
      <c r="G36" s="2">
        <f>G19/G21</f>
        <v>5.2211110398631408</v>
      </c>
      <c r="H36" s="2">
        <f>H19/H21</f>
        <v>5.2211110398631408</v>
      </c>
    </row>
    <row r="38" spans="1:8" x14ac:dyDescent="0.3">
      <c r="A38" s="30" t="s">
        <v>44</v>
      </c>
      <c r="G38">
        <f>((1+G36-G35^2)+SQRT((1+G36-G35^2)^2+4*G35^2))/2</f>
        <v>2.103756675859719</v>
      </c>
      <c r="H38">
        <f>((1+H36-H35^2)+SQRT((1+H36-H35^2)^2+4*H35^2))/2</f>
        <v>1.3013121505971936</v>
      </c>
    </row>
    <row r="39" spans="1:8" x14ac:dyDescent="0.3">
      <c r="A39" s="30" t="s">
        <v>45</v>
      </c>
      <c r="G39">
        <f>1/SQRT(G38)</f>
        <v>0.68944915940816098</v>
      </c>
      <c r="H39">
        <f>1/SQRT(H38)</f>
        <v>0.87661572632837581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V189"/>
  <sheetViews>
    <sheetView topLeftCell="J1" workbookViewId="0">
      <selection activeCell="S2" sqref="S2"/>
    </sheetView>
  </sheetViews>
  <sheetFormatPr defaultColWidth="8.88671875" defaultRowHeight="14.4" x14ac:dyDescent="0.3"/>
  <cols>
    <col min="3" max="4" width="12" bestFit="1" customWidth="1"/>
    <col min="7" max="7" width="13.88671875" customWidth="1"/>
    <col min="8" max="8" width="14" customWidth="1"/>
    <col min="10" max="10" width="18.44140625" customWidth="1"/>
    <col min="12" max="12" width="14" customWidth="1"/>
    <col min="14" max="14" width="18.44140625" customWidth="1"/>
    <col min="15" max="17" width="16" customWidth="1"/>
    <col min="18" max="18" width="14" customWidth="1"/>
    <col min="19" max="19" width="18.44140625" customWidth="1"/>
    <col min="20" max="20" width="23.44140625" customWidth="1"/>
    <col min="22" max="22" width="18.44140625" customWidth="1"/>
  </cols>
  <sheetData>
    <row r="1" spans="1:22" ht="32.25" customHeight="1" x14ac:dyDescent="0.25">
      <c r="A1" t="s">
        <v>6</v>
      </c>
      <c r="B1" t="s">
        <v>28</v>
      </c>
      <c r="C1" t="s">
        <v>46</v>
      </c>
      <c r="D1" t="s">
        <v>47</v>
      </c>
      <c r="E1" t="s">
        <v>29</v>
      </c>
      <c r="G1" s="16" t="s">
        <v>49</v>
      </c>
      <c r="H1" s="16" t="s">
        <v>55</v>
      </c>
      <c r="J1" t="s">
        <v>33</v>
      </c>
      <c r="L1" t="s">
        <v>34</v>
      </c>
      <c r="N1" t="s">
        <v>50</v>
      </c>
      <c r="O1" t="s">
        <v>51</v>
      </c>
      <c r="P1" s="16" t="s">
        <v>54</v>
      </c>
      <c r="Q1" s="16"/>
      <c r="R1" t="s">
        <v>48</v>
      </c>
      <c r="S1" t="s">
        <v>52</v>
      </c>
      <c r="T1" s="16" t="s">
        <v>53</v>
      </c>
    </row>
    <row r="2" spans="1:22" ht="15" x14ac:dyDescent="0.25">
      <c r="A2">
        <v>0.1</v>
      </c>
      <c r="B2" s="48">
        <f>Main!$B$18</f>
        <v>1.171664943123061</v>
      </c>
      <c r="C2">
        <f>1/SQRT((1-Calculation!$B$21/Calculation!$B$19*((1/'Frequency Data'!$A2)^2-1))^2+(Calculation!$B$3*'Frequency Data'!$A2*Calculation!$B$21/Calculation!$B$11*(1-(1/'Frequency Data'!$A2)^2))^2)</f>
        <v>0.12842104164633097</v>
      </c>
      <c r="D2">
        <f>1/SQRT((1-Calculation!$D$21/Calculation!$D$19*((1/'Frequency Data'!$A2)^2-1))^2+(Calculation!$D$3*'Frequency Data'!$A2*Calculation!$D$21/Calculation!$D$11*(1-(1/'Frequency Data'!$A2)^2))^2)</f>
        <v>5.3765518795701343E-2</v>
      </c>
      <c r="E2" s="48">
        <f>Main!$B$19</f>
        <v>0.94069505396750086</v>
      </c>
      <c r="F2" s="48"/>
      <c r="G2" s="63">
        <f>IF(A2&lt;Main!$K$23,0,Main!$B$18)*IF(A2&lt;Main!$L$23,1,0)</f>
        <v>0</v>
      </c>
      <c r="H2" s="63">
        <f>IF(A2&lt;Main!$K$23,0,Main!$B$18)*IF(A2&lt;Main!$L$24,1,0)</f>
        <v>0</v>
      </c>
      <c r="I2" s="63"/>
      <c r="J2">
        <f>IF(A2&gt;Main!$K$23,ABS(C2-$E2),10)</f>
        <v>10</v>
      </c>
      <c r="L2">
        <f>IF(A2&gt;Main!$K$23,ABS(D2-E2),10)</f>
        <v>10</v>
      </c>
      <c r="N2">
        <f>IF($A2&gt;Main!Q$28,ABS(O2-$E2),10)</f>
        <v>10</v>
      </c>
      <c r="O2">
        <f>1/SQRT((1-Calculation!$D$21/Calculation!$D$19*((1/'Frequency Data'!$A2)^2-1))^2+(Calculation!$D$3*'Frequency Data'!$A2*Calculation!$D$21/Calculation!$G$11*(1-(1/'Frequency Data'!$A2)^2))^2)*IF(Main!$Q$23,1,0)</f>
        <v>5.3388971716546677E-2</v>
      </c>
      <c r="P2">
        <f>IF(N2=10,0,$O$188)*IF(Main!$Q$23,1,0)*IF($A2&lt;Main!$S$28,1,0)</f>
        <v>0</v>
      </c>
      <c r="R2">
        <f>IF($A2&gt;Main!Q$29,ABS(S2-$E2),10)</f>
        <v>10</v>
      </c>
      <c r="S2">
        <f>1/SQRT((1-Calculation!$D$21/Calculation!$D$19*((1/'Frequency Data'!$A2)^2-1))^2+(Calculation!$D$3*'Frequency Data'!$A2*Calculation!$D$21/Calculation!$H$11*(1-(1/'Frequency Data'!$A2)^2))^2)*IF(Main!$Q$24,1,0)</f>
        <v>5.0062092358483287E-2</v>
      </c>
      <c r="T2">
        <f>IF(R2=10,0,$O$188)*IF(Main!$Q$23,1,0)*IF($A2&lt;Main!$S$29,1,0)</f>
        <v>0</v>
      </c>
      <c r="V2">
        <f>IF(Main!Q23,1,0)</f>
        <v>1</v>
      </c>
    </row>
    <row r="3" spans="1:22" ht="15" x14ac:dyDescent="0.25">
      <c r="A3">
        <v>0.11</v>
      </c>
      <c r="B3" s="48">
        <f>Main!$B$18</f>
        <v>1.171664943123061</v>
      </c>
      <c r="C3">
        <f>1/SQRT((1-Calculation!$B$21/Calculation!$B$19*((1/'Frequency Data'!$A3)^2-1))^2+(Calculation!$B$3*'Frequency Data'!$A3*Calculation!$B$21/Calculation!$B$11*(1-(1/'Frequency Data'!$A3)^2))^2)</f>
        <v>0.1575594962378436</v>
      </c>
      <c r="D3">
        <f>1/SQRT((1-Calculation!$D$21/Calculation!$D$19*((1/'Frequency Data'!$A3)^2-1))^2+(Calculation!$D$3*'Frequency Data'!$A3*Calculation!$D$21/Calculation!$D$11*(1-(1/'Frequency Data'!$A3)^2))^2)</f>
        <v>6.5449932494002605E-2</v>
      </c>
      <c r="E3" s="48">
        <f>Main!$B$19</f>
        <v>0.94069505396750086</v>
      </c>
      <c r="F3" s="48"/>
      <c r="G3" s="63">
        <f>IF(A3&lt;Main!$K$23,0,Main!$B$18)*IF(A3&lt;Main!$L$23,1,0)</f>
        <v>0</v>
      </c>
      <c r="H3" s="63">
        <f>IF(A3&lt;Main!$K$24,0,Main!$B$18)*IF(A3&lt;Main!$L$24,1,0)</f>
        <v>0</v>
      </c>
      <c r="J3">
        <f>IF(A3&gt;Main!$K$23,ABS(C3-$E3),10)</f>
        <v>10</v>
      </c>
      <c r="L3">
        <f>IF(A3&gt;Main!$K$23,ABS(D3-E3),10)</f>
        <v>10</v>
      </c>
      <c r="N3">
        <f>IF($A3&gt;Main!Q$28,ABS(O3-$E3),10)</f>
        <v>10</v>
      </c>
      <c r="O3">
        <f>1/SQRT((1-Calculation!$D$21/Calculation!$D$19*((1/'Frequency Data'!$A3)^2-1))^2+(Calculation!$D$3*'Frequency Data'!$A3*Calculation!$D$21/Calculation!$G$11*(1-(1/'Frequency Data'!$A3)^2))^2)*IF(Main!$Q$23,1,0)</f>
        <v>6.489222319086671E-2</v>
      </c>
      <c r="P3">
        <f>IF(N3=10,0,$O$188)*IF(Main!$Q$23,1,0)*IF($A3&lt;Main!$S$28,1,0)</f>
        <v>0</v>
      </c>
      <c r="R3">
        <f>IF($A3&gt;Main!Q$29,ABS(S3-$E3),10)</f>
        <v>10</v>
      </c>
      <c r="S3">
        <f>1/SQRT((1-Calculation!$D$21/Calculation!$D$19*((1/'Frequency Data'!$A3)^2-1))^2+(Calculation!$D$3*'Frequency Data'!$A3*Calculation!$D$21/Calculation!$H$11*(1-(1/'Frequency Data'!$A3)^2))^2)*IF(Main!$Q$24,1,0)</f>
        <v>6.0071032717579999E-2</v>
      </c>
      <c r="T3">
        <f>IF(R3=10,0,$O$188)*IF(Main!$Q$23,1,0)*IF($A3&lt;Main!$S$29,1,0)</f>
        <v>0</v>
      </c>
    </row>
    <row r="4" spans="1:22" ht="15" x14ac:dyDescent="0.25">
      <c r="A4">
        <v>0.12</v>
      </c>
      <c r="B4" s="48">
        <f>Main!$B$18</f>
        <v>1.171664943123061</v>
      </c>
      <c r="C4">
        <f>1/SQRT((1-Calculation!$B$21/Calculation!$B$19*((1/'Frequency Data'!$A4)^2-1))^2+(Calculation!$B$3*'Frequency Data'!$A4*Calculation!$B$21/Calculation!$B$11*(1-(1/'Frequency Data'!$A4)^2))^2)</f>
        <v>0.19029392734612932</v>
      </c>
      <c r="D4">
        <f>1/SQRT((1-Calculation!$D$21/Calculation!$D$19*((1/'Frequency Data'!$A4)^2-1))^2+(Calculation!$D$3*'Frequency Data'!$A4*Calculation!$D$21/Calculation!$D$11*(1-(1/'Frequency Data'!$A4)^2))^2)</f>
        <v>7.840260966098217E-2</v>
      </c>
      <c r="E4" s="48">
        <f>Main!$B$19</f>
        <v>0.94069505396750086</v>
      </c>
      <c r="F4" s="48"/>
      <c r="G4" s="63">
        <f>IF(A4&lt;Main!$K$23,0,Main!$B$18)*IF(A4&lt;Main!$L$23,1,0)</f>
        <v>0</v>
      </c>
      <c r="H4" s="63">
        <f>IF(A4&lt;Main!$K$24,0,Main!$B$18)*IF(A4&lt;Main!$L$24,1,0)</f>
        <v>0</v>
      </c>
      <c r="J4">
        <f>IF(A4&gt;Main!$K$23,ABS(C4-$E4),10)</f>
        <v>10</v>
      </c>
      <c r="L4">
        <f>IF(A4&gt;Main!$K$23,ABS(D4-E4),10)</f>
        <v>10</v>
      </c>
      <c r="N4">
        <f>IF($A4&gt;Main!Q$28,ABS(O4-$E4),10)</f>
        <v>10</v>
      </c>
      <c r="O4">
        <f>1/SQRT((1-Calculation!$D$21/Calculation!$D$19*((1/'Frequency Data'!$A4)^2-1))^2+(Calculation!$D$3*'Frequency Data'!$A4*Calculation!$D$21/Calculation!$G$11*(1-(1/'Frequency Data'!$A4)^2))^2)*IF(Main!$Q$23,1,0)</f>
        <v>7.7602841911765211E-2</v>
      </c>
      <c r="P4">
        <f>IF(N4=10,0,$O$188)*IF(Main!$Q$23,1,0)*IF($A4&lt;Main!$S$28,1,0)</f>
        <v>0</v>
      </c>
      <c r="R4">
        <f>IF($A4&gt;Main!Q$29,ABS(S4-$E4),10)</f>
        <v>10</v>
      </c>
      <c r="S4">
        <f>1/SQRT((1-Calculation!$D$21/Calculation!$D$19*((1/'Frequency Data'!$A4)^2-1))^2+(Calculation!$D$3*'Frequency Data'!$A4*Calculation!$D$21/Calculation!$H$11*(1-(1/'Frequency Data'!$A4)^2))^2)*IF(Main!$Q$24,1,0)</f>
        <v>7.0850281359416872E-2</v>
      </c>
      <c r="T4">
        <f>IF(R4=10,0,$O$188)*IF(Main!$Q$23,1,0)*IF($A4&lt;Main!$S$29,1,0)</f>
        <v>0</v>
      </c>
    </row>
    <row r="5" spans="1:22" ht="15" x14ac:dyDescent="0.25">
      <c r="A5">
        <v>0.13</v>
      </c>
      <c r="B5" s="48">
        <f>Main!$B$18</f>
        <v>1.171664943123061</v>
      </c>
      <c r="C5">
        <f>1/SQRT((1-Calculation!$B$21/Calculation!$B$19*((1/'Frequency Data'!$A5)^2-1))^2+(Calculation!$B$3*'Frequency Data'!$A5*Calculation!$B$21/Calculation!$B$11*(1-(1/'Frequency Data'!$A5)^2))^2)</f>
        <v>0.22680455993710455</v>
      </c>
      <c r="D5">
        <f>1/SQRT((1-Calculation!$D$21/Calculation!$D$19*((1/'Frequency Data'!$A5)^2-1))^2+(Calculation!$D$3*'Frequency Data'!$A5*Calculation!$D$21/Calculation!$D$11*(1-(1/'Frequency Data'!$A5)^2))^2)</f>
        <v>9.2664700249558724E-2</v>
      </c>
      <c r="E5" s="48">
        <f>Main!$B$19</f>
        <v>0.94069505396750086</v>
      </c>
      <c r="F5" s="48"/>
      <c r="G5" s="63">
        <f>IF(A5&lt;Main!$K$23,0,Main!$B$18)*IF(A5&lt;Main!$L$23,1,0)</f>
        <v>0</v>
      </c>
      <c r="H5" s="63">
        <f>IF(A5&lt;Main!$K$24,0,Main!$B$18)*IF(A5&lt;Main!$L$24,1,0)</f>
        <v>0</v>
      </c>
      <c r="J5">
        <f>IF(A5&gt;Main!$K$23,ABS(C5-$E5),10)</f>
        <v>10</v>
      </c>
      <c r="L5">
        <f>IF(A5&gt;Main!$K$23,ABS(D5-E5),10)</f>
        <v>10</v>
      </c>
      <c r="N5">
        <f>IF($A5&gt;Main!Q$28,ABS(O5-$E5),10)</f>
        <v>10</v>
      </c>
      <c r="O5">
        <f>1/SQRT((1-Calculation!$D$21/Calculation!$D$19*((1/'Frequency Data'!$A5)^2-1))^2+(Calculation!$D$3*'Frequency Data'!$A5*Calculation!$D$21/Calculation!$G$11*(1-(1/'Frequency Data'!$A5)^2))^2)*IF(Main!$Q$23,1,0)</f>
        <v>9.1548435849391319E-2</v>
      </c>
      <c r="P5">
        <f>IF(N5=10,0,$O$188)*IF(Main!$Q$23,1,0)*IF($A5&lt;Main!$S$28,1,0)</f>
        <v>0</v>
      </c>
      <c r="R5">
        <f>IF($A5&gt;Main!Q$29,ABS(S5-$E5),10)</f>
        <v>10</v>
      </c>
      <c r="S5">
        <f>1/SQRT((1-Calculation!$D$21/Calculation!$D$19*((1/'Frequency Data'!$A5)^2-1))^2+(Calculation!$D$3*'Frequency Data'!$A5*Calculation!$D$21/Calculation!$H$11*(1-(1/'Frequency Data'!$A5)^2))^2)*IF(Main!$Q$24,1,0)</f>
        <v>8.2358888071630873E-2</v>
      </c>
      <c r="T5">
        <f>IF(R5=10,0,$O$188)*IF(Main!$Q$23,1,0)*IF($A5&lt;Main!$S$29,1,0)</f>
        <v>0</v>
      </c>
    </row>
    <row r="6" spans="1:22" x14ac:dyDescent="0.3">
      <c r="A6">
        <v>0.14000000000000001</v>
      </c>
      <c r="B6" s="48">
        <f>Main!$B$18</f>
        <v>1.171664943123061</v>
      </c>
      <c r="C6">
        <f>1/SQRT((1-Calculation!$B$21/Calculation!$B$19*((1/'Frequency Data'!$A6)^2-1))^2+(Calculation!$B$3*'Frequency Data'!$A6*Calculation!$B$21/Calculation!$B$11*(1-(1/'Frequency Data'!$A6)^2))^2)</f>
        <v>0.26725255266749226</v>
      </c>
      <c r="D6">
        <f>1/SQRT((1-Calculation!$D$21/Calculation!$D$19*((1/'Frequency Data'!$A6)^2-1))^2+(Calculation!$D$3*'Frequency Data'!$A6*Calculation!$D$21/Calculation!$D$11*(1-(1/'Frequency Data'!$A6)^2))^2)</f>
        <v>0.10827999607340086</v>
      </c>
      <c r="E6" s="48">
        <f>Main!$B$19</f>
        <v>0.94069505396750086</v>
      </c>
      <c r="F6" s="48"/>
      <c r="G6" s="63">
        <f>IF(A6&lt;Main!$K$23,0,Main!$B$18)*IF(A6&lt;Main!$L$23,1,0)</f>
        <v>0</v>
      </c>
      <c r="H6" s="63">
        <f>IF(A6&lt;Main!$K$24,0,Main!$B$18)*IF(A6&lt;Main!$L$24,1,0)</f>
        <v>0</v>
      </c>
      <c r="J6">
        <f>IF(A6&gt;Main!$K$23,ABS(C6-$E6),10)</f>
        <v>10</v>
      </c>
      <c r="L6">
        <f>IF(A6&gt;Main!$K$23,ABS(D6-E6),10)</f>
        <v>10</v>
      </c>
      <c r="N6">
        <f>IF($A6&gt;Main!Q$28,ABS(O6-$E6),10)</f>
        <v>10</v>
      </c>
      <c r="O6">
        <f>1/SQRT((1-Calculation!$D$21/Calculation!$D$19*((1/'Frequency Data'!$A6)^2-1))^2+(Calculation!$D$3*'Frequency Data'!$A6*Calculation!$D$21/Calculation!$G$11*(1-(1/'Frequency Data'!$A6)^2))^2)*IF(Main!$Q$23,1,0)</f>
        <v>0.10675742488168166</v>
      </c>
      <c r="P6">
        <f>IF(N6=10,0,$O$188)*IF(Main!$Q$23,1,0)*IF($A6&lt;Main!$S$28,1,0)</f>
        <v>0</v>
      </c>
      <c r="R6">
        <f>IF($A6&gt;Main!Q$29,ABS(S6-$E6),10)</f>
        <v>10</v>
      </c>
      <c r="S6">
        <f>1/SQRT((1-Calculation!$D$21/Calculation!$D$19*((1/'Frequency Data'!$A6)^2-1))^2+(Calculation!$D$3*'Frequency Data'!$A6*Calculation!$D$21/Calculation!$H$11*(1-(1/'Frequency Data'!$A6)^2))^2)*IF(Main!$Q$24,1,0)</f>
        <v>9.455548084349874E-2</v>
      </c>
      <c r="T6">
        <f>IF(R6=10,0,$O$188)*IF(Main!$Q$23,1,0)*IF($A6&lt;Main!$S$29,1,0)</f>
        <v>0</v>
      </c>
    </row>
    <row r="7" spans="1:22" x14ac:dyDescent="0.3">
      <c r="A7">
        <v>0.15</v>
      </c>
      <c r="B7" s="48">
        <f>Main!$B$18</f>
        <v>1.171664943123061</v>
      </c>
      <c r="C7">
        <f>1/SQRT((1-Calculation!$B$21/Calculation!$B$19*((1/'Frequency Data'!$A7)^2-1))^2+(Calculation!$B$3*'Frequency Data'!$A7*Calculation!$B$21/Calculation!$B$11*(1-(1/'Frequency Data'!$A7)^2))^2)</f>
        <v>0.31176078339092811</v>
      </c>
      <c r="D7">
        <f>1/SQRT((1-Calculation!$D$21/Calculation!$D$19*((1/'Frequency Data'!$A7)^2-1))^2+(Calculation!$D$3*'Frequency Data'!$A7*Calculation!$D$21/Calculation!$D$11*(1-(1/'Frequency Data'!$A7)^2))^2)</f>
        <v>0.12529443947462751</v>
      </c>
      <c r="E7" s="48">
        <f>Main!$B$19</f>
        <v>0.94069505396750086</v>
      </c>
      <c r="F7" s="48"/>
      <c r="G7" s="63">
        <f>IF(A7&lt;Main!$K$23,0,Main!$B$18)*IF(A7&lt;Main!$L$23,1,0)</f>
        <v>0</v>
      </c>
      <c r="H7" s="63">
        <f>IF(A7&lt;Main!$K$24,0,Main!$B$18)*IF(A7&lt;Main!$L$24,1,0)</f>
        <v>0</v>
      </c>
      <c r="J7">
        <f>IF(A7&gt;Main!$K$23,ABS(C7-$E7),10)</f>
        <v>10</v>
      </c>
      <c r="L7">
        <f>IF(A7&gt;Main!$K$23,ABS(D7-E7),10)</f>
        <v>10</v>
      </c>
      <c r="N7">
        <f>IF($A7&gt;Main!Q$28,ABS(O7-$E7),10)</f>
        <v>10</v>
      </c>
      <c r="O7">
        <f>1/SQRT((1-Calculation!$D$21/Calculation!$D$19*((1/'Frequency Data'!$A7)^2-1))^2+(Calculation!$D$3*'Frequency Data'!$A7*Calculation!$D$21/Calculation!$G$11*(1-(1/'Frequency Data'!$A7)^2))^2)*IF(Main!$Q$23,1,0)</f>
        <v>0.12325844019226181</v>
      </c>
      <c r="P7">
        <f>IF(N7=10,0,$O$188)*IF(Main!$Q$23,1,0)*IF($A7&lt;Main!$S$28,1,0)</f>
        <v>0</v>
      </c>
      <c r="R7">
        <f>IF($A7&gt;Main!Q$29,ABS(S7-$E7),10)</f>
        <v>10</v>
      </c>
      <c r="S7">
        <f>1/SQRT((1-Calculation!$D$21/Calculation!$D$19*((1/'Frequency Data'!$A7)^2-1))^2+(Calculation!$D$3*'Frequency Data'!$A7*Calculation!$D$21/Calculation!$H$11*(1-(1/'Frequency Data'!$A7)^2))^2)*IF(Main!$Q$24,1,0)</f>
        <v>0.10739870164279819</v>
      </c>
      <c r="T7">
        <f>IF(R7=10,0,$O$188)*IF(Main!$Q$23,1,0)*IF($A7&lt;Main!$S$29,1,0)</f>
        <v>0</v>
      </c>
    </row>
    <row r="8" spans="1:22" x14ac:dyDescent="0.3">
      <c r="A8">
        <v>0.16</v>
      </c>
      <c r="B8" s="48">
        <f>Main!$B$18</f>
        <v>1.171664943123061</v>
      </c>
      <c r="C8">
        <f>1/SQRT((1-Calculation!$B$21/Calculation!$B$19*((1/'Frequency Data'!$A8)^2-1))^2+(Calculation!$B$3*'Frequency Data'!$A8*Calculation!$B$21/Calculation!$B$11*(1-(1/'Frequency Data'!$A8)^2))^2)</f>
        <v>0.36038859940255608</v>
      </c>
      <c r="D8">
        <f>1/SQRT((1-Calculation!$D$21/Calculation!$D$19*((1/'Frequency Data'!$A8)^2-1))^2+(Calculation!$D$3*'Frequency Data'!$A8*Calculation!$D$21/Calculation!$D$11*(1-(1/'Frequency Data'!$A8)^2))^2)</f>
        <v>0.14375547040175465</v>
      </c>
      <c r="E8" s="48">
        <f>Main!$B$19</f>
        <v>0.94069505396750086</v>
      </c>
      <c r="F8" s="48"/>
      <c r="G8" s="63">
        <f>IF(A8&lt;Main!$K$23,0,Main!$B$18)*IF(A8&lt;Main!$L$23,1,0)</f>
        <v>0</v>
      </c>
      <c r="H8" s="63">
        <f>IF(A8&lt;Main!$K$24,0,Main!$B$18)*IF(A8&lt;Main!$L$24,1,0)</f>
        <v>0</v>
      </c>
      <c r="J8">
        <f>IF(A8&gt;Main!$K$23,ABS(C8-$E8),10)</f>
        <v>10</v>
      </c>
      <c r="L8">
        <f>IF(A8&gt;Main!$K$23,ABS(D8-E8),10)</f>
        <v>10</v>
      </c>
      <c r="N8">
        <f>IF($A8&gt;Main!Q$28,ABS(O8-$E8),10)</f>
        <v>10</v>
      </c>
      <c r="O8">
        <f>1/SQRT((1-Calculation!$D$21/Calculation!$D$19*((1/'Frequency Data'!$A8)^2-1))^2+(Calculation!$D$3*'Frequency Data'!$A8*Calculation!$D$21/Calculation!$G$11*(1-(1/'Frequency Data'!$A8)^2))^2)*IF(Main!$Q$23,1,0)</f>
        <v>0.14107958967489459</v>
      </c>
      <c r="P8">
        <f>IF(N8=10,0,$O$188)*IF(Main!$Q$23,1,0)*IF($A8&lt;Main!$S$28,1,0)</f>
        <v>0</v>
      </c>
      <c r="R8">
        <f>IF($A8&gt;Main!Q$29,ABS(S8-$E8),10)</f>
        <v>10</v>
      </c>
      <c r="S8">
        <f>1/SQRT((1-Calculation!$D$21/Calculation!$D$19*((1/'Frequency Data'!$A8)^2-1))^2+(Calculation!$D$3*'Frequency Data'!$A8*Calculation!$D$21/Calculation!$H$11*(1-(1/'Frequency Data'!$A8)^2))^2)*IF(Main!$Q$24,1,0)</f>
        <v>0.12084758661901376</v>
      </c>
      <c r="T8">
        <f>IF(R8=10,0,$O$188)*IF(Main!$Q$23,1,0)*IF($A8&lt;Main!$S$29,1,0)</f>
        <v>0</v>
      </c>
    </row>
    <row r="9" spans="1:22" x14ac:dyDescent="0.3">
      <c r="A9">
        <v>0.17</v>
      </c>
      <c r="B9" s="48">
        <f>Main!$B$18</f>
        <v>1.171664943123061</v>
      </c>
      <c r="C9">
        <f>1/SQRT((1-Calculation!$B$21/Calculation!$B$19*((1/'Frequency Data'!$A9)^2-1))^2+(Calculation!$B$3*'Frequency Data'!$A9*Calculation!$B$21/Calculation!$B$11*(1-(1/'Frequency Data'!$A9)^2))^2)</f>
        <v>0.41310023061169177</v>
      </c>
      <c r="D9">
        <f>1/SQRT((1-Calculation!$D$21/Calculation!$D$19*((1/'Frequency Data'!$A9)^2-1))^2+(Calculation!$D$3*'Frequency Data'!$A9*Calculation!$D$21/Calculation!$D$11*(1-(1/'Frequency Data'!$A9)^2))^2)</f>
        <v>0.1637111742821537</v>
      </c>
      <c r="E9" s="48">
        <f>Main!$B$19</f>
        <v>0.94069505396750086</v>
      </c>
      <c r="F9" s="48"/>
      <c r="G9" s="63">
        <f>IF(A9&lt;Main!$K$23,0,Main!$B$18)*IF(A9&lt;Main!$L$23,1,0)</f>
        <v>0</v>
      </c>
      <c r="H9" s="63">
        <f>IF(A9&lt;Main!$K$24,0,Main!$B$18)*IF(A9&lt;Main!$L$24,1,0)</f>
        <v>0</v>
      </c>
      <c r="J9">
        <f>IF(A9&gt;Main!$K$23,ABS(C9-$E9),10)</f>
        <v>10</v>
      </c>
      <c r="L9">
        <f>IF(A9&gt;Main!$K$23,ABS(D9-E9),10)</f>
        <v>10</v>
      </c>
      <c r="N9">
        <f>IF($A9&gt;Main!Q$28,ABS(O9-$E9),10)</f>
        <v>10</v>
      </c>
      <c r="O9">
        <f>1/SQRT((1-Calculation!$D$21/Calculation!$D$19*((1/'Frequency Data'!$A9)^2-1))^2+(Calculation!$D$3*'Frequency Data'!$A9*Calculation!$D$21/Calculation!$G$11*(1-(1/'Frequency Data'!$A9)^2))^2)*IF(Main!$Q$23,1,0)</f>
        <v>0.16024756908361198</v>
      </c>
      <c r="P9">
        <f>IF(N9=10,0,$O$188)*IF(Main!$Q$23,1,0)*IF($A9&lt;Main!$S$28,1,0)</f>
        <v>0</v>
      </c>
      <c r="R9">
        <f>IF($A9&gt;Main!Q$29,ABS(S9-$E9),10)</f>
        <v>10</v>
      </c>
      <c r="S9">
        <f>1/SQRT((1-Calculation!$D$21/Calculation!$D$19*((1/'Frequency Data'!$A9)^2-1))^2+(Calculation!$D$3*'Frequency Data'!$A9*Calculation!$D$21/Calculation!$H$11*(1-(1/'Frequency Data'!$A9)^2))^2)*IF(Main!$Q$24,1,0)</f>
        <v>0.13486188764647009</v>
      </c>
      <c r="T9">
        <f>IF(R9=10,0,$O$188)*IF(Main!$Q$23,1,0)*IF($A9&lt;Main!$S$29,1,0)</f>
        <v>0</v>
      </c>
    </row>
    <row r="10" spans="1:22" x14ac:dyDescent="0.3">
      <c r="A10">
        <v>0.18</v>
      </c>
      <c r="B10" s="48">
        <f>Main!$B$18</f>
        <v>1.171664943123061</v>
      </c>
      <c r="C10">
        <f>1/SQRT((1-Calculation!$B$21/Calculation!$B$19*((1/'Frequency Data'!$A10)^2-1))^2+(Calculation!$B$3*'Frequency Data'!$A10*Calculation!$B$21/Calculation!$B$11*(1-(1/'Frequency Data'!$A10)^2))^2)</f>
        <v>0.46972767704952084</v>
      </c>
      <c r="D10">
        <f>1/SQRT((1-Calculation!$D$21/Calculation!$D$19*((1/'Frequency Data'!$A10)^2-1))^2+(Calculation!$D$3*'Frequency Data'!$A10*Calculation!$D$21/Calculation!$D$11*(1-(1/'Frequency Data'!$A10)^2))^2)</f>
        <v>0.18520918812185502</v>
      </c>
      <c r="E10" s="48">
        <f>Main!$B$19</f>
        <v>0.94069505396750086</v>
      </c>
      <c r="F10" s="48"/>
      <c r="G10" s="63">
        <f>IF(A10&lt;Main!$K$23,0,Main!$B$18)*IF(A10&lt;Main!$L$23,1,0)</f>
        <v>0</v>
      </c>
      <c r="H10" s="63">
        <f>IF(A10&lt;Main!$K$24,0,Main!$B$18)*IF(A10&lt;Main!$L$24,1,0)</f>
        <v>0</v>
      </c>
      <c r="J10">
        <f>IF(A10&gt;Main!$K$23,ABS(C10-$E10),10)</f>
        <v>10</v>
      </c>
      <c r="L10">
        <f>IF(A10&gt;Main!$K$23,ABS(D10-E10),10)</f>
        <v>10</v>
      </c>
      <c r="N10">
        <f>IF($A10&gt;Main!Q$28,ABS(O10-$E10),10)</f>
        <v>10</v>
      </c>
      <c r="O10">
        <f>1/SQRT((1-Calculation!$D$21/Calculation!$D$19*((1/'Frequency Data'!$A10)^2-1))^2+(Calculation!$D$3*'Frequency Data'!$A10*Calculation!$D$21/Calculation!$G$11*(1-(1/'Frequency Data'!$A10)^2))^2)*IF(Main!$Q$23,1,0)</f>
        <v>0.1807865987009695</v>
      </c>
      <c r="P10">
        <f>IF(N10=10,0,$O$188)*IF(Main!$Q$23,1,0)*IF($A10&lt;Main!$S$28,1,0)</f>
        <v>0</v>
      </c>
      <c r="R10">
        <f>IF($A10&gt;Main!Q$29,ABS(S10-$E10),10)</f>
        <v>10</v>
      </c>
      <c r="S10">
        <f>1/SQRT((1-Calculation!$D$21/Calculation!$D$19*((1/'Frequency Data'!$A10)^2-1))^2+(Calculation!$D$3*'Frequency Data'!$A10*Calculation!$D$21/Calculation!$H$11*(1-(1/'Frequency Data'!$A10)^2))^2)*IF(Main!$Q$24,1,0)</f>
        <v>0.14940233456626115</v>
      </c>
      <c r="T10">
        <f>IF(R10=10,0,$O$188)*IF(Main!$Q$23,1,0)*IF($A10&lt;Main!$S$29,1,0)</f>
        <v>0</v>
      </c>
    </row>
    <row r="11" spans="1:22" x14ac:dyDescent="0.3">
      <c r="A11">
        <v>0.19</v>
      </c>
      <c r="B11" s="48">
        <f>Main!$B$18</f>
        <v>1.171664943123061</v>
      </c>
      <c r="C11">
        <f>1/SQRT((1-Calculation!$B$21/Calculation!$B$19*((1/'Frequency Data'!$A11)^2-1))^2+(Calculation!$B$3*'Frequency Data'!$A11*Calculation!$B$21/Calculation!$B$11*(1-(1/'Frequency Data'!$A11)^2))^2)</f>
        <v>0.52993074015493924</v>
      </c>
      <c r="D11">
        <f>1/SQRT((1-Calculation!$D$21/Calculation!$D$19*((1/'Frequency Data'!$A11)^2-1))^2+(Calculation!$D$3*'Frequency Data'!$A11*Calculation!$D$21/Calculation!$D$11*(1-(1/'Frequency Data'!$A11)^2))^2)</f>
        <v>0.20829531807727367</v>
      </c>
      <c r="E11" s="48">
        <f>Main!$B$19</f>
        <v>0.94069505396750086</v>
      </c>
      <c r="F11" s="48"/>
      <c r="G11" s="63">
        <f>IF(A11&lt;Main!$K$23,0,Main!$B$18)*IF(A11&lt;Main!$L$23,1,0)</f>
        <v>0</v>
      </c>
      <c r="H11" s="63">
        <f>IF(A11&lt;Main!$K$24,0,Main!$B$18)*IF(A11&lt;Main!$L$24,1,0)</f>
        <v>0</v>
      </c>
      <c r="J11">
        <f>IF(A11&gt;Main!$K$23,ABS(C11-$E11),10)</f>
        <v>10</v>
      </c>
      <c r="L11">
        <f>IF(A11&gt;Main!$K$23,ABS(D11-E11),10)</f>
        <v>10</v>
      </c>
      <c r="N11">
        <f>IF($A11&gt;Main!Q$28,ABS(O11-$E11),10)</f>
        <v>10</v>
      </c>
      <c r="O11">
        <f>1/SQRT((1-Calculation!$D$21/Calculation!$D$19*((1/'Frequency Data'!$A11)^2-1))^2+(Calculation!$D$3*'Frequency Data'!$A11*Calculation!$D$21/Calculation!$G$11*(1-(1/'Frequency Data'!$A11)^2))^2)*IF(Main!$Q$23,1,0)</f>
        <v>0.20271716674861767</v>
      </c>
      <c r="P11">
        <f>IF(N11=10,0,$O$188)*IF(Main!$Q$23,1,0)*IF($A11&lt;Main!$S$28,1,0)</f>
        <v>0</v>
      </c>
      <c r="R11">
        <f>IF($A11&gt;Main!Q$29,ABS(S11-$E11),10)</f>
        <v>10</v>
      </c>
      <c r="S11">
        <f>1/SQRT((1-Calculation!$D$21/Calculation!$D$19*((1/'Frequency Data'!$A11)^2-1))^2+(Calculation!$D$3*'Frequency Data'!$A11*Calculation!$D$21/Calculation!$H$11*(1-(1/'Frequency Data'!$A11)^2))^2)*IF(Main!$Q$24,1,0)</f>
        <v>0.16443083953869436</v>
      </c>
      <c r="T11">
        <f>IF(R11=10,0,$O$188)*IF(Main!$Q$23,1,0)*IF($A11&lt;Main!$S$29,1,0)</f>
        <v>0</v>
      </c>
    </row>
    <row r="12" spans="1:22" x14ac:dyDescent="0.3">
      <c r="A12">
        <v>0.2</v>
      </c>
      <c r="B12" s="48">
        <f>Main!$B$18</f>
        <v>1.171664943123061</v>
      </c>
      <c r="C12">
        <f>1/SQRT((1-Calculation!$B$21/Calculation!$B$19*((1/'Frequency Data'!$A12)^2-1))^2+(Calculation!$B$3*'Frequency Data'!$A12*Calculation!$B$21/Calculation!$B$11*(1-(1/'Frequency Data'!$A12)^2))^2)</f>
        <v>0.59315947854838913</v>
      </c>
      <c r="D12">
        <f>1/SQRT((1-Calculation!$D$21/Calculation!$D$19*((1/'Frequency Data'!$A12)^2-1))^2+(Calculation!$D$3*'Frequency Data'!$A12*Calculation!$D$21/Calculation!$D$11*(1-(1/'Frequency Data'!$A12)^2))^2)</f>
        <v>0.23301181920741557</v>
      </c>
      <c r="E12" s="48">
        <f>Main!$B$19</f>
        <v>0.94069505396750086</v>
      </c>
      <c r="F12" s="48"/>
      <c r="G12" s="63">
        <f>IF(A12&lt;Main!$K$23,0,Main!$B$18)*IF(A12&lt;Main!$L$23,1,0)</f>
        <v>0</v>
      </c>
      <c r="H12" s="63">
        <f>IF(A12&lt;Main!$K$24,0,Main!$B$18)*IF(A12&lt;Main!$L$24,1,0)</f>
        <v>0</v>
      </c>
      <c r="J12">
        <f>IF(A12&gt;Main!$K$23,ABS(C12-$E12),10)</f>
        <v>10</v>
      </c>
      <c r="L12">
        <f>IF(A12&gt;Main!$K$23,ABS(D12-E12),10)</f>
        <v>10</v>
      </c>
      <c r="N12">
        <f>IF($A12&gt;Main!Q$28,ABS(O12-$E12),10)</f>
        <v>10</v>
      </c>
      <c r="O12">
        <f>1/SQRT((1-Calculation!$D$21/Calculation!$D$19*((1/'Frequency Data'!$A12)^2-1))^2+(Calculation!$D$3*'Frequency Data'!$A12*Calculation!$D$21/Calculation!$G$11*(1-(1/'Frequency Data'!$A12)^2))^2)*IF(Main!$Q$23,1,0)</f>
        <v>0.22605456422541129</v>
      </c>
      <c r="P12">
        <f>IF(N12=10,0,$O$188)*IF(Main!$Q$23,1,0)*IF($A12&lt;Main!$S$28,1,0)</f>
        <v>0</v>
      </c>
      <c r="R12">
        <f>IF($A12&gt;Main!Q$29,ABS(S12-$E12),10)</f>
        <v>10</v>
      </c>
      <c r="S12">
        <f>1/SQRT((1-Calculation!$D$21/Calculation!$D$19*((1/'Frequency Data'!$A12)^2-1))^2+(Calculation!$D$3*'Frequency Data'!$A12*Calculation!$D$21/Calculation!$H$11*(1-(1/'Frequency Data'!$A12)^2))^2)*IF(Main!$Q$24,1,0)</f>
        <v>0.17991064654500863</v>
      </c>
      <c r="T12">
        <f>IF(R12=10,0,$O$188)*IF(Main!$Q$23,1,0)*IF($A12&lt;Main!$S$29,1,0)</f>
        <v>0</v>
      </c>
    </row>
    <row r="13" spans="1:22" x14ac:dyDescent="0.3">
      <c r="A13">
        <v>0.21</v>
      </c>
      <c r="B13" s="48">
        <f>Main!$B$18</f>
        <v>1.171664943123061</v>
      </c>
      <c r="C13">
        <f>1/SQRT((1-Calculation!$B$21/Calculation!$B$19*((1/'Frequency Data'!$A13)^2-1))^2+(Calculation!$B$3*'Frequency Data'!$A13*Calculation!$B$21/Calculation!$B$11*(1-(1/'Frequency Data'!$A13)^2))^2)</f>
        <v>0.65862735693591212</v>
      </c>
      <c r="D13">
        <f>1/SQRT((1-Calculation!$D$21/Calculation!$D$19*((1/'Frequency Data'!$A13)^2-1))^2+(Calculation!$D$3*'Frequency Data'!$A13*Calculation!$D$21/Calculation!$D$11*(1-(1/'Frequency Data'!$A13)^2))^2)</f>
        <v>0.25939528849903848</v>
      </c>
      <c r="E13" s="48">
        <f>Main!$B$19</f>
        <v>0.94069505396750086</v>
      </c>
      <c r="F13" s="48"/>
      <c r="G13" s="63">
        <f>IF(A13&lt;Main!$K$23,0,Main!$B$18)*IF(A13&lt;Main!$L$23,1,0)</f>
        <v>0</v>
      </c>
      <c r="H13" s="63">
        <f>IF(A13&lt;Main!$K$24,0,Main!$B$18)*IF(A13&lt;Main!$L$24,1,0)</f>
        <v>0</v>
      </c>
      <c r="J13">
        <f>IF(A13&gt;Main!$K$23,ABS(C13-$E13),10)</f>
        <v>10</v>
      </c>
      <c r="L13">
        <f>IF(A13&gt;Main!$K$23,ABS(D13-E13),10)</f>
        <v>10</v>
      </c>
      <c r="N13">
        <f>IF($A13&gt;Main!Q$28,ABS(O13-$E13),10)</f>
        <v>10</v>
      </c>
      <c r="O13">
        <f>1/SQRT((1-Calculation!$D$21/Calculation!$D$19*((1/'Frequency Data'!$A13)^2-1))^2+(Calculation!$D$3*'Frequency Data'!$A13*Calculation!$D$21/Calculation!$G$11*(1-(1/'Frequency Data'!$A13)^2))^2)*IF(Main!$Q$23,1,0)</f>
        <v>0.25080720202735135</v>
      </c>
      <c r="P13">
        <f>IF(N13=10,0,$O$188)*IF(Main!$Q$23,1,0)*IF($A13&lt;Main!$S$28,1,0)</f>
        <v>0</v>
      </c>
      <c r="R13">
        <f>IF($A13&gt;Main!Q$29,ABS(S13-$E13),10)</f>
        <v>10</v>
      </c>
      <c r="S13">
        <f>1/SQRT((1-Calculation!$D$21/Calculation!$D$19*((1/'Frequency Data'!$A13)^2-1))^2+(Calculation!$D$3*'Frequency Data'!$A13*Calculation!$D$21/Calculation!$H$11*(1-(1/'Frequency Data'!$A13)^2))^2)*IF(Main!$Q$24,1,0)</f>
        <v>0.19580643028045022</v>
      </c>
      <c r="T13">
        <f>IF(R13=10,0,$O$188)*IF(Main!$Q$23,1,0)*IF($A13&lt;Main!$S$29,1,0)</f>
        <v>0</v>
      </c>
    </row>
    <row r="14" spans="1:22" x14ac:dyDescent="0.3">
      <c r="A14">
        <v>0.22</v>
      </c>
      <c r="B14" s="48">
        <f>Main!$B$18</f>
        <v>1.171664943123061</v>
      </c>
      <c r="C14">
        <f>1/SQRT((1-Calculation!$B$21/Calculation!$B$19*((1/'Frequency Data'!$A14)^2-1))^2+(Calculation!$B$3*'Frequency Data'!$A14*Calculation!$B$21/Calculation!$B$11*(1-(1/'Frequency Data'!$A14)^2))^2)</f>
        <v>0.72530573640094653</v>
      </c>
      <c r="D14">
        <f>1/SQRT((1-Calculation!$D$21/Calculation!$D$19*((1/'Frequency Data'!$A14)^2-1))^2+(Calculation!$D$3*'Frequency Data'!$A14*Calculation!$D$21/Calculation!$D$11*(1-(1/'Frequency Data'!$A14)^2))^2)</f>
        <v>0.2874741272764812</v>
      </c>
      <c r="E14" s="48">
        <f>Main!$B$19</f>
        <v>0.94069505396750086</v>
      </c>
      <c r="F14" s="48"/>
      <c r="G14" s="63">
        <f>IF(A14&lt;Main!$K$23,0,Main!$B$18)*IF(A14&lt;Main!$L$23,1,0)</f>
        <v>0</v>
      </c>
      <c r="H14" s="63">
        <f>IF(A14&lt;Main!$K$24,0,Main!$B$18)*IF(A14&lt;Main!$L$24,1,0)</f>
        <v>0</v>
      </c>
      <c r="J14">
        <f>IF(A14&gt;Main!$K$23,ABS(C14-$E14),10)</f>
        <v>10</v>
      </c>
      <c r="L14">
        <f>IF(A14&gt;Main!$K$23,ABS(D14-E14),10)</f>
        <v>10</v>
      </c>
      <c r="N14">
        <f>IF($A14&gt;Main!Q$28,ABS(O14-$E14),10)</f>
        <v>10</v>
      </c>
      <c r="O14">
        <f>1/SQRT((1-Calculation!$D$21/Calculation!$D$19*((1/'Frequency Data'!$A14)^2-1))^2+(Calculation!$D$3*'Frequency Data'!$A14*Calculation!$D$21/Calculation!$G$11*(1-(1/'Frequency Data'!$A14)^2))^2)*IF(Main!$Q$23,1,0)</f>
        <v>0.27697471085304687</v>
      </c>
      <c r="P14">
        <f>IF(N14=10,0,$O$188)*IF(Main!$Q$23,1,0)*IF($A14&lt;Main!$S$28,1,0)</f>
        <v>0</v>
      </c>
      <c r="R14">
        <f>IF($A14&gt;Main!Q$29,ABS(S14-$E14),10)</f>
        <v>10</v>
      </c>
      <c r="S14">
        <f>1/SQRT((1-Calculation!$D$21/Calculation!$D$19*((1/'Frequency Data'!$A14)^2-1))^2+(Calculation!$D$3*'Frequency Data'!$A14*Calculation!$D$21/Calculation!$H$11*(1-(1/'Frequency Data'!$A14)^2))^2)*IF(Main!$Q$24,1,0)</f>
        <v>0.21208434948930957</v>
      </c>
      <c r="T14">
        <f>IF(R14=10,0,$O$188)*IF(Main!$Q$23,1,0)*IF($A14&lt;Main!$S$29,1,0)</f>
        <v>0</v>
      </c>
    </row>
    <row r="15" spans="1:22" x14ac:dyDescent="0.3">
      <c r="A15">
        <v>0.23</v>
      </c>
      <c r="B15" s="48">
        <f>Main!$B$18</f>
        <v>1.171664943123061</v>
      </c>
      <c r="C15">
        <f>1/SQRT((1-Calculation!$B$21/Calculation!$B$19*((1/'Frequency Data'!$A15)^2-1))^2+(Calculation!$B$3*'Frequency Data'!$A15*Calculation!$B$21/Calculation!$B$11*(1-(1/'Frequency Data'!$A15)^2))^2)</f>
        <v>0.7919505156883524</v>
      </c>
      <c r="D15">
        <f>1/SQRT((1-Calculation!$D$21/Calculation!$D$19*((1/'Frequency Data'!$A15)^2-1))^2+(Calculation!$D$3*'Frequency Data'!$A15*Calculation!$D$21/Calculation!$D$11*(1-(1/'Frequency Data'!$A15)^2))^2)</f>
        <v>0.31726554095631593</v>
      </c>
      <c r="E15" s="48">
        <f>Main!$B$19</f>
        <v>0.94069505396750086</v>
      </c>
      <c r="F15" s="48"/>
      <c r="G15" s="63">
        <f>IF(A15&lt;Main!$K$23,0,Main!$B$18)*IF(A15&lt;Main!$L$23,1,0)</f>
        <v>0</v>
      </c>
      <c r="H15" s="63">
        <f>IF(A15&lt;Main!$K$24,0,Main!$B$18)*IF(A15&lt;Main!$L$24,1,0)</f>
        <v>0</v>
      </c>
      <c r="J15">
        <f>IF(A15&gt;Main!$K$23,ABS(C15-$E15),10)</f>
        <v>10</v>
      </c>
      <c r="L15">
        <f>IF(A15&gt;Main!$K$23,ABS(D15-E15),10)</f>
        <v>10</v>
      </c>
      <c r="N15">
        <f>IF($A15&gt;Main!Q$28,ABS(O15-$E15),10)</f>
        <v>10</v>
      </c>
      <c r="O15">
        <f>1/SQRT((1-Calculation!$D$21/Calculation!$D$19*((1/'Frequency Data'!$A15)^2-1))^2+(Calculation!$D$3*'Frequency Data'!$A15*Calculation!$D$21/Calculation!$G$11*(1-(1/'Frequency Data'!$A15)^2))^2)*IF(Main!$Q$23,1,0)</f>
        <v>0.3045458383007667</v>
      </c>
      <c r="P15">
        <f>IF(N15=10,0,$O$188)*IF(Main!$Q$23,1,0)*IF($A15&lt;Main!$S$28,1,0)</f>
        <v>0</v>
      </c>
      <c r="R15">
        <f>IF($A15&gt;Main!Q$29,ABS(S15-$E15),10)</f>
        <v>10</v>
      </c>
      <c r="S15">
        <f>1/SQRT((1-Calculation!$D$21/Calculation!$D$19*((1/'Frequency Data'!$A15)^2-1))^2+(Calculation!$D$3*'Frequency Data'!$A15*Calculation!$D$21/Calculation!$H$11*(1-(1/'Frequency Data'!$A15)^2))^2)*IF(Main!$Q$24,1,0)</f>
        <v>0.2287120602530848</v>
      </c>
      <c r="T15">
        <f>IF(R15=10,0,$O$188)*IF(Main!$Q$23,1,0)*IF($A15&lt;Main!$S$29,1,0)</f>
        <v>0</v>
      </c>
    </row>
    <row r="16" spans="1:22" x14ac:dyDescent="0.3">
      <c r="A16">
        <v>0.24</v>
      </c>
      <c r="B16" s="48">
        <f>Main!$B$18</f>
        <v>1.171664943123061</v>
      </c>
      <c r="C16">
        <f>1/SQRT((1-Calculation!$B$21/Calculation!$B$19*((1/'Frequency Data'!$A16)^2-1))^2+(Calculation!$B$3*'Frequency Data'!$A16*Calculation!$B$21/Calculation!$B$11*(1-(1/'Frequency Data'!$A16)^2))^2)</f>
        <v>0.85716793558897042</v>
      </c>
      <c r="D16">
        <f>1/SQRT((1-Calculation!$D$21/Calculation!$D$19*((1/'Frequency Data'!$A16)^2-1))^2+(Calculation!$D$3*'Frequency Data'!$A16*Calculation!$D$21/Calculation!$D$11*(1-(1/'Frequency Data'!$A16)^2))^2)</f>
        <v>0.3487720654049824</v>
      </c>
      <c r="E16" s="48">
        <f>Main!$B$19</f>
        <v>0.94069505396750086</v>
      </c>
      <c r="F16" s="48"/>
      <c r="G16" s="63">
        <f>IF(A16&lt;Main!$K$23,0,Main!$B$18)*IF(A16&lt;Main!$L$23,1,0)</f>
        <v>0</v>
      </c>
      <c r="H16" s="63">
        <f>IF(A16&lt;Main!$K$24,0,Main!$B$18)*IF(A16&lt;Main!$L$24,1,0)</f>
        <v>0</v>
      </c>
      <c r="J16">
        <f>IF(A16&gt;Main!$K$23,ABS(C16-$E16),10)</f>
        <v>10</v>
      </c>
      <c r="L16">
        <f>IF(A16&gt;Main!$K$23,ABS(D16-E16),10)</f>
        <v>10</v>
      </c>
      <c r="N16">
        <f>IF($A16&gt;Main!Q$28,ABS(O16-$E16),10)</f>
        <v>10</v>
      </c>
      <c r="O16">
        <f>1/SQRT((1-Calculation!$D$21/Calculation!$D$19*((1/'Frequency Data'!$A16)^2-1))^2+(Calculation!$D$3*'Frequency Data'!$A16*Calculation!$D$21/Calculation!$G$11*(1-(1/'Frequency Data'!$A16)^2))^2)*IF(Main!$Q$23,1,0)</f>
        <v>0.33349617636599443</v>
      </c>
      <c r="P16">
        <f>IF(N16=10,0,$O$188)*IF(Main!$Q$23,1,0)*IF($A16&lt;Main!$S$28,1,0)</f>
        <v>0</v>
      </c>
      <c r="R16">
        <f>IF($A16&gt;Main!Q$29,ABS(S16-$E16),10)</f>
        <v>10</v>
      </c>
      <c r="S16">
        <f>1/SQRT((1-Calculation!$D$21/Calculation!$D$19*((1/'Frequency Data'!$A16)^2-1))^2+(Calculation!$D$3*'Frequency Data'!$A16*Calculation!$D$21/Calculation!$H$11*(1-(1/'Frequency Data'!$A16)^2))^2)*IF(Main!$Q$24,1,0)</f>
        <v>0.24565869491235479</v>
      </c>
      <c r="T16">
        <f>IF(R16=10,0,$O$188)*IF(Main!$Q$23,1,0)*IF($A16&lt;Main!$S$29,1,0)</f>
        <v>0</v>
      </c>
    </row>
    <row r="17" spans="1:20" x14ac:dyDescent="0.3">
      <c r="A17">
        <v>0.25</v>
      </c>
      <c r="B17" s="48">
        <f>Main!$B$18</f>
        <v>1.171664943123061</v>
      </c>
      <c r="C17">
        <f>1/SQRT((1-Calculation!$B$21/Calculation!$B$19*((1/'Frequency Data'!$A17)^2-1))^2+(Calculation!$B$3*'Frequency Data'!$A17*Calculation!$B$21/Calculation!$B$11*(1-(1/'Frequency Data'!$A17)^2))^2)</f>
        <v>0.91951807362970861</v>
      </c>
      <c r="D17">
        <f>1/SQRT((1-Calculation!$D$21/Calculation!$D$19*((1/'Frequency Data'!$A17)^2-1))^2+(Calculation!$D$3*'Frequency Data'!$A17*Calculation!$D$21/Calculation!$D$11*(1-(1/'Frequency Data'!$A17)^2))^2)</f>
        <v>0.38197764275281382</v>
      </c>
      <c r="E17" s="48">
        <f>Main!$B$19</f>
        <v>0.94069505396750086</v>
      </c>
      <c r="F17" s="48"/>
      <c r="G17" s="63">
        <f>IF(A17&lt;Main!$K$23,0,Main!$B$18)*IF(A17&lt;Main!$L$23,1,0)</f>
        <v>0</v>
      </c>
      <c r="H17" s="63">
        <f>IF(A17&lt;Main!$K$24,0,Main!$B$18)*IF(A17&lt;Main!$L$24,1,0)</f>
        <v>0</v>
      </c>
      <c r="J17">
        <f>IF(A17&gt;Main!$K$23,ABS(C17-$E17),10)</f>
        <v>10</v>
      </c>
      <c r="L17">
        <f>IF(A17&gt;Main!$K$23,ABS(D17-E17),10)</f>
        <v>10</v>
      </c>
      <c r="N17">
        <f>IF($A17&gt;Main!Q$28,ABS(O17-$E17),10)</f>
        <v>10</v>
      </c>
      <c r="O17">
        <f>1/SQRT((1-Calculation!$D$21/Calculation!$D$19*((1/'Frequency Data'!$A17)^2-1))^2+(Calculation!$D$3*'Frequency Data'!$A17*Calculation!$D$21/Calculation!$G$11*(1-(1/'Frequency Data'!$A17)^2))^2)*IF(Main!$Q$23,1,0)</f>
        <v>0.36378577658380606</v>
      </c>
      <c r="P17">
        <f>IF(N17=10,0,$O$188)*IF(Main!$Q$23,1,0)*IF($A17&lt;Main!$S$28,1,0)</f>
        <v>0</v>
      </c>
      <c r="R17">
        <f>IF($A17&gt;Main!Q$29,ABS(S17-$E17),10)</f>
        <v>10</v>
      </c>
      <c r="S17">
        <f>1/SQRT((1-Calculation!$D$21/Calculation!$D$19*((1/'Frequency Data'!$A17)^2-1))^2+(Calculation!$D$3*'Frequency Data'!$A17*Calculation!$D$21/Calculation!$H$11*(1-(1/'Frequency Data'!$A17)^2))^2)*IF(Main!$Q$24,1,0)</f>
        <v>0.26289481224127592</v>
      </c>
      <c r="T17">
        <f>IF(R17=10,0,$O$188)*IF(Main!$Q$23,1,0)*IF($A17&lt;Main!$S$29,1,0)</f>
        <v>0</v>
      </c>
    </row>
    <row r="18" spans="1:20" x14ac:dyDescent="0.3">
      <c r="A18">
        <v>0.26</v>
      </c>
      <c r="B18" s="48">
        <f>Main!$B$18</f>
        <v>1.171664943123061</v>
      </c>
      <c r="C18">
        <f>1/SQRT((1-Calculation!$B$21/Calculation!$B$19*((1/'Frequency Data'!$A18)^2-1))^2+(Calculation!$B$3*'Frequency Data'!$A18*Calculation!$B$21/Calculation!$B$11*(1-(1/'Frequency Data'!$A18)^2))^2)</f>
        <v>0.97764300140493843</v>
      </c>
      <c r="D18">
        <f>1/SQRT((1-Calculation!$D$21/Calculation!$D$19*((1/'Frequency Data'!$A18)^2-1))^2+(Calculation!$D$3*'Frequency Data'!$A18*Calculation!$D$21/Calculation!$D$11*(1-(1/'Frequency Data'!$A18)^2))^2)</f>
        <v>0.4168433180582109</v>
      </c>
      <c r="E18" s="48">
        <f>Main!$B$19</f>
        <v>0.94069505396750086</v>
      </c>
      <c r="F18" s="48"/>
      <c r="G18" s="63">
        <f>IF(A18&lt;Main!$K$23,0,Main!$B$18)*IF(A18&lt;Main!$L$23,1,0)</f>
        <v>0</v>
      </c>
      <c r="H18" s="63">
        <f>IF(A18&lt;Main!$K$24,0,Main!$B$18)*IF(A18&lt;Main!$L$24,1,0)</f>
        <v>0</v>
      </c>
      <c r="J18">
        <f>IF(A18&gt;Main!$K$23,ABS(C18-$E18),10)</f>
        <v>10</v>
      </c>
      <c r="L18">
        <f>IF(A18&gt;Main!$K$23,ABS(D18-E18),10)</f>
        <v>10</v>
      </c>
      <c r="N18">
        <f>IF($A18&gt;Main!Q$28,ABS(O18-$E18),10)</f>
        <v>10</v>
      </c>
      <c r="O18">
        <f>1/SQRT((1-Calculation!$D$21/Calculation!$D$19*((1/'Frequency Data'!$A18)^2-1))^2+(Calculation!$D$3*'Frequency Data'!$A18*Calculation!$D$21/Calculation!$G$11*(1-(1/'Frequency Data'!$A18)^2))^2)*IF(Main!$Q$23,1,0)</f>
        <v>0.39535673908692942</v>
      </c>
      <c r="P18">
        <f>IF(N18=10,0,$O$188)*IF(Main!$Q$23,1,0)*IF($A18&lt;Main!$S$28,1,0)</f>
        <v>0</v>
      </c>
      <c r="R18">
        <f>IF($A18&gt;Main!Q$29,ABS(S18-$E18),10)</f>
        <v>10</v>
      </c>
      <c r="S18">
        <f>1/SQRT((1-Calculation!$D$21/Calculation!$D$19*((1/'Frequency Data'!$A18)^2-1))^2+(Calculation!$D$3*'Frequency Data'!$A18*Calculation!$D$21/Calculation!$H$11*(1-(1/'Frequency Data'!$A18)^2))^2)*IF(Main!$Q$24,1,0)</f>
        <v>0.28039232425914506</v>
      </c>
      <c r="T18">
        <f>IF(R18=10,0,$O$188)*IF(Main!$Q$23,1,0)*IF($A18&lt;Main!$S$29,1,0)</f>
        <v>0</v>
      </c>
    </row>
    <row r="19" spans="1:20" x14ac:dyDescent="0.3">
      <c r="A19">
        <v>0.27</v>
      </c>
      <c r="B19" s="48">
        <f>Main!$B$18</f>
        <v>1.171664943123061</v>
      </c>
      <c r="C19">
        <f>1/SQRT((1-Calculation!$B$21/Calculation!$B$19*((1/'Frequency Data'!$A19)^2-1))^2+(Calculation!$B$3*'Frequency Data'!$A19*Calculation!$B$21/Calculation!$B$11*(1-(1/'Frequency Data'!$A19)^2))^2)</f>
        <v>1.0303962645496245</v>
      </c>
      <c r="D19">
        <f>1/SQRT((1-Calculation!$D$21/Calculation!$D$19*((1/'Frequency Data'!$A19)^2-1))^2+(Calculation!$D$3*'Frequency Data'!$A19*Calculation!$D$21/Calculation!$D$11*(1-(1/'Frequency Data'!$A19)^2))^2)</f>
        <v>0.45330269341068069</v>
      </c>
      <c r="E19" s="48">
        <f>Main!$B$19</f>
        <v>0.94069505396750086</v>
      </c>
      <c r="F19" s="48"/>
      <c r="G19" s="63">
        <f>IF(A19&lt;Main!$K$23,0,Main!$B$18)*IF(A19&lt;Main!$L$23,1,0)</f>
        <v>0</v>
      </c>
      <c r="H19" s="63">
        <f>IF(A19&lt;Main!$K$24,0,Main!$B$18)*IF(A19&lt;Main!$L$24,1,0)</f>
        <v>0</v>
      </c>
      <c r="J19">
        <f>IF(A19&gt;Main!$K$23,ABS(C19-$E19),10)</f>
        <v>10</v>
      </c>
      <c r="L19">
        <f>IF(A19&gt;Main!$K$23,ABS(D19-E19),10)</f>
        <v>10</v>
      </c>
      <c r="N19">
        <f>IF($A19&gt;Main!Q$28,ABS(O19-$E19),10)</f>
        <v>10</v>
      </c>
      <c r="O19">
        <f>1/SQRT((1-Calculation!$D$21/Calculation!$D$19*((1/'Frequency Data'!$A19)^2-1))^2+(Calculation!$D$3*'Frequency Data'!$A19*Calculation!$D$21/Calculation!$G$11*(1-(1/'Frequency Data'!$A19)^2))^2)*IF(Main!$Q$23,1,0)</f>
        <v>0.42813089474043797</v>
      </c>
      <c r="P19">
        <f>IF(N19=10,0,$O$188)*IF(Main!$Q$23,1,0)*IF($A19&lt;Main!$S$28,1,0)</f>
        <v>0</v>
      </c>
      <c r="R19">
        <f>IF($A19&gt;Main!Q$29,ABS(S19-$E19),10)</f>
        <v>10</v>
      </c>
      <c r="S19">
        <f>1/SQRT((1-Calculation!$D$21/Calculation!$D$19*((1/'Frequency Data'!$A19)^2-1))^2+(Calculation!$D$3*'Frequency Data'!$A19*Calculation!$D$21/Calculation!$H$11*(1-(1/'Frequency Data'!$A19)^2))^2)*IF(Main!$Q$24,1,0)</f>
        <v>0.29812440470923979</v>
      </c>
      <c r="T19">
        <f>IF(R19=10,0,$O$188)*IF(Main!$Q$23,1,0)*IF($A19&lt;Main!$S$29,1,0)</f>
        <v>0</v>
      </c>
    </row>
    <row r="20" spans="1:20" x14ac:dyDescent="0.3">
      <c r="A20">
        <v>0.28000000000000003</v>
      </c>
      <c r="B20" s="48">
        <f>Main!$B$18</f>
        <v>1.171664943123061</v>
      </c>
      <c r="C20">
        <f>1/SQRT((1-Calculation!$B$21/Calculation!$B$19*((1/'Frequency Data'!$A20)^2-1))^2+(Calculation!$B$3*'Frequency Data'!$A20*Calculation!$B$21/Calculation!$B$11*(1-(1/'Frequency Data'!$A20)^2))^2)</f>
        <v>1.0769465614792266</v>
      </c>
      <c r="D20">
        <f>1/SQRT((1-Calculation!$D$21/Calculation!$D$19*((1/'Frequency Data'!$A20)^2-1))^2+(Calculation!$D$3*'Frequency Data'!$A20*Calculation!$D$21/Calculation!$D$11*(1-(1/'Frequency Data'!$A20)^2))^2)</f>
        <v>0.49125735757937972</v>
      </c>
      <c r="E20" s="48">
        <f>Main!$B$19</f>
        <v>0.94069505396750086</v>
      </c>
      <c r="F20" s="48"/>
      <c r="G20" s="63">
        <f>IF(A20&lt;Main!$K$23,0,Main!$B$18)*IF(A20&lt;Main!$L$23,1,0)</f>
        <v>0</v>
      </c>
      <c r="H20" s="63">
        <f>IF(A20&lt;Main!$K$24,0,Main!$B$18)*IF(A20&lt;Main!$L$24,1,0)</f>
        <v>0</v>
      </c>
      <c r="J20">
        <f>IF(A20&gt;Main!$K$23,ABS(C20-$E20),10)</f>
        <v>10</v>
      </c>
      <c r="L20">
        <f>IF(A20&gt;Main!$K$23,ABS(D20-E20),10)</f>
        <v>10</v>
      </c>
      <c r="N20">
        <f>IF($A20&gt;Main!Q$28,ABS(O20-$E20),10)</f>
        <v>10</v>
      </c>
      <c r="O20">
        <f>1/SQRT((1-Calculation!$D$21/Calculation!$D$19*((1/'Frequency Data'!$A20)^2-1))^2+(Calculation!$D$3*'Frequency Data'!$A20*Calculation!$D$21/Calculation!$G$11*(1-(1/'Frequency Data'!$A20)^2))^2)*IF(Main!$Q$23,1,0)</f>
        <v>0.46200773392846572</v>
      </c>
      <c r="P20">
        <f>IF(N20=10,0,$O$188)*IF(Main!$Q$23,1,0)*IF($A20&lt;Main!$S$28,1,0)</f>
        <v>0</v>
      </c>
      <c r="R20">
        <f>IF($A20&gt;Main!Q$29,ABS(S20-$E20),10)</f>
        <v>10</v>
      </c>
      <c r="S20">
        <f>1/SQRT((1-Calculation!$D$21/Calculation!$D$19*((1/'Frequency Data'!$A20)^2-1))^2+(Calculation!$D$3*'Frequency Data'!$A20*Calculation!$D$21/Calculation!$H$11*(1-(1/'Frequency Data'!$A20)^2))^2)*IF(Main!$Q$24,1,0)</f>
        <v>0.31606538380688631</v>
      </c>
      <c r="T20">
        <f>IF(R20=10,0,$O$188)*IF(Main!$Q$23,1,0)*IF($A20&lt;Main!$S$29,1,0)</f>
        <v>0</v>
      </c>
    </row>
    <row r="21" spans="1:20" x14ac:dyDescent="0.3">
      <c r="A21">
        <v>0.28999999999999998</v>
      </c>
      <c r="B21" s="48">
        <f>Main!$B$18</f>
        <v>1.171664943123061</v>
      </c>
      <c r="C21">
        <f>1/SQRT((1-Calculation!$B$21/Calculation!$B$19*((1/'Frequency Data'!$A21)^2-1))^2+(Calculation!$B$3*'Frequency Data'!$A21*Calculation!$B$21/Calculation!$B$11*(1-(1/'Frequency Data'!$A21)^2))^2)</f>
        <v>1.1168341878483972</v>
      </c>
      <c r="D21">
        <f>1/SQRT((1-Calculation!$D$21/Calculation!$D$19*((1/'Frequency Data'!$A21)^2-1))^2+(Calculation!$D$3*'Frequency Data'!$A21*Calculation!$D$21/Calculation!$D$11*(1-(1/'Frequency Data'!$A21)^2))^2)</f>
        <v>0.53057260335181933</v>
      </c>
      <c r="E21" s="48">
        <f>Main!$B$19</f>
        <v>0.94069505396750086</v>
      </c>
      <c r="F21" s="48"/>
      <c r="G21" s="63">
        <f>IF(A21&lt;Main!$K$23,0,Main!$B$18)*IF(A21&lt;Main!$L$23,1,0)</f>
        <v>0</v>
      </c>
      <c r="H21" s="63">
        <f>IF(A21&lt;Main!$K$24,0,Main!$B$18)*IF(A21&lt;Main!$L$24,1,0)</f>
        <v>0</v>
      </c>
      <c r="J21">
        <f>IF(A21&gt;Main!$K$23,ABS(C21-$E21),10)</f>
        <v>10</v>
      </c>
      <c r="L21">
        <f>IF(A21&gt;Main!$K$23,ABS(D21-E21),10)</f>
        <v>10</v>
      </c>
      <c r="N21">
        <f>IF($A21&gt;Main!Q$28,ABS(O21-$E21),10)</f>
        <v>10</v>
      </c>
      <c r="O21">
        <f>1/SQRT((1-Calculation!$D$21/Calculation!$D$19*((1/'Frequency Data'!$A21)^2-1))^2+(Calculation!$D$3*'Frequency Data'!$A21*Calculation!$D$21/Calculation!$G$11*(1-(1/'Frequency Data'!$A21)^2))^2)*IF(Main!$Q$23,1,0)</f>
        <v>0.4968627676981634</v>
      </c>
      <c r="P21">
        <f>IF(N21=10,0,$O$188)*IF(Main!$Q$23,1,0)*IF($A21&lt;Main!$S$28,1,0)</f>
        <v>0</v>
      </c>
      <c r="R21">
        <f>IF($A21&gt;Main!Q$29,ABS(S21-$E21),10)</f>
        <v>10</v>
      </c>
      <c r="S21">
        <f>1/SQRT((1-Calculation!$D$21/Calculation!$D$19*((1/'Frequency Data'!$A21)^2-1))^2+(Calculation!$D$3*'Frequency Data'!$A21*Calculation!$D$21/Calculation!$H$11*(1-(1/'Frequency Data'!$A21)^2))^2)*IF(Main!$Q$24,1,0)</f>
        <v>0.33419063339395982</v>
      </c>
      <c r="T21">
        <f>IF(R21=10,0,$O$188)*IF(Main!$Q$23,1,0)*IF($A21&lt;Main!$S$29,1,0)</f>
        <v>0</v>
      </c>
    </row>
    <row r="22" spans="1:20" x14ac:dyDescent="0.3">
      <c r="A22">
        <v>0.3</v>
      </c>
      <c r="B22" s="48">
        <f>Main!$B$18</f>
        <v>1.171664943123061</v>
      </c>
      <c r="C22">
        <f>1/SQRT((1-Calculation!$B$21/Calculation!$B$19*((1/'Frequency Data'!$A22)^2-1))^2+(Calculation!$B$3*'Frequency Data'!$A22*Calculation!$B$21/Calculation!$B$11*(1-(1/'Frequency Data'!$A22)^2))^2)</f>
        <v>1.1499721221812704</v>
      </c>
      <c r="D22">
        <f>1/SQRT((1-Calculation!$D$21/Calculation!$D$19*((1/'Frequency Data'!$A22)^2-1))^2+(Calculation!$D$3*'Frequency Data'!$A22*Calculation!$D$21/Calculation!$D$11*(1-(1/'Frequency Data'!$A22)^2))^2)</f>
        <v>0.57107384244034864</v>
      </c>
      <c r="E22" s="48">
        <f>Main!$B$19</f>
        <v>0.94069505396750086</v>
      </c>
      <c r="F22" s="48"/>
      <c r="G22" s="63">
        <f>IF(A22&lt;Main!$K$23,0,Main!$B$18)*IF(A22&lt;Main!$L$23,1,0)</f>
        <v>0</v>
      </c>
      <c r="H22" s="63">
        <f>IF(A22&lt;Main!$K$24,0,Main!$B$18)*IF(A22&lt;Main!$L$24,1,0)</f>
        <v>0</v>
      </c>
      <c r="J22">
        <f>IF(A22&gt;Main!$K$23,ABS(C22-$E22),10)</f>
        <v>10</v>
      </c>
      <c r="L22">
        <f>IF(A22&gt;Main!$K$23,ABS(D22-E22),10)</f>
        <v>10</v>
      </c>
      <c r="N22">
        <f>IF($A22&gt;Main!Q$28,ABS(O22-$E22),10)</f>
        <v>10</v>
      </c>
      <c r="O22">
        <f>1/SQRT((1-Calculation!$D$21/Calculation!$D$19*((1/'Frequency Data'!$A22)^2-1))^2+(Calculation!$D$3*'Frequency Data'!$A22*Calculation!$D$21/Calculation!$G$11*(1-(1/'Frequency Data'!$A22)^2))^2)*IF(Main!$Q$23,1,0)</f>
        <v>0.53254653146320496</v>
      </c>
      <c r="P22">
        <f>IF(N22=10,0,$O$188)*IF(Main!$Q$23,1,0)*IF($A22&lt;Main!$S$28,1,0)</f>
        <v>0</v>
      </c>
      <c r="R22">
        <f>IF($A22&gt;Main!Q$29,ABS(S22-$E22),10)</f>
        <v>10</v>
      </c>
      <c r="S22">
        <f>1/SQRT((1-Calculation!$D$21/Calculation!$D$19*((1/'Frequency Data'!$A22)^2-1))^2+(Calculation!$D$3*'Frequency Data'!$A22*Calculation!$D$21/Calculation!$H$11*(1-(1/'Frequency Data'!$A22)^2))^2)*IF(Main!$Q$24,1,0)</f>
        <v>0.35247644616508189</v>
      </c>
      <c r="T22">
        <f>IF(R22=10,0,$O$188)*IF(Main!$Q$23,1,0)*IF($A22&lt;Main!$S$29,1,0)</f>
        <v>0</v>
      </c>
    </row>
    <row r="23" spans="1:20" x14ac:dyDescent="0.3">
      <c r="A23">
        <v>0.31</v>
      </c>
      <c r="B23" s="48">
        <f>Main!$B$18</f>
        <v>1.171664943123061</v>
      </c>
      <c r="C23">
        <f>1/SQRT((1-Calculation!$B$21/Calculation!$B$19*((1/'Frequency Data'!$A23)^2-1))^2+(Calculation!$B$3*'Frequency Data'!$A23*Calculation!$B$21/Calculation!$B$11*(1-(1/'Frequency Data'!$A23)^2))^2)</f>
        <v>1.1765986675176723</v>
      </c>
      <c r="D23">
        <f>1/SQRT((1-Calculation!$D$21/Calculation!$D$19*((1/'Frequency Data'!$A23)^2-1))^2+(Calculation!$D$3*'Frequency Data'!$A23*Calculation!$D$21/Calculation!$D$11*(1-(1/'Frequency Data'!$A23)^2))^2)</f>
        <v>0.6125442142038533</v>
      </c>
      <c r="E23" s="48">
        <f>Main!$B$19</f>
        <v>0.94069505396750086</v>
      </c>
      <c r="F23" s="48"/>
      <c r="G23" s="63">
        <f>IF(A23&lt;Main!$K$23,0,Main!$B$18)*IF(A23&lt;Main!$L$23,1,0)</f>
        <v>0</v>
      </c>
      <c r="H23" s="63">
        <f>IF(A23&lt;Main!$K$24,0,Main!$B$18)*IF(A23&lt;Main!$L$24,1,0)</f>
        <v>0</v>
      </c>
      <c r="J23">
        <f>IF(A23&gt;Main!$K$23,ABS(C23-$E23),10)</f>
        <v>10</v>
      </c>
      <c r="L23">
        <f>IF(A23&gt;Main!$K$23,ABS(D23-E23),10)</f>
        <v>10</v>
      </c>
      <c r="N23">
        <f>IF($A23&gt;Main!Q$28,ABS(O23-$E23),10)</f>
        <v>10</v>
      </c>
      <c r="O23">
        <f>1/SQRT((1-Calculation!$D$21/Calculation!$D$19*((1/'Frequency Data'!$A23)^2-1))^2+(Calculation!$D$3*'Frequency Data'!$A23*Calculation!$D$21/Calculation!$G$11*(1-(1/'Frequency Data'!$A23)^2))^2)*IF(Main!$Q$23,1,0)</f>
        <v>0.56888445171667323</v>
      </c>
      <c r="P23">
        <f>IF(N23=10,0,$O$188)*IF(Main!$Q$23,1,0)*IF($A23&lt;Main!$S$28,1,0)</f>
        <v>0</v>
      </c>
      <c r="R23">
        <f>IF($A23&gt;Main!Q$29,ABS(S23-$E23),10)</f>
        <v>10</v>
      </c>
      <c r="S23">
        <f>1/SQRT((1-Calculation!$D$21/Calculation!$D$19*((1/'Frequency Data'!$A23)^2-1))^2+(Calculation!$D$3*'Frequency Data'!$A23*Calculation!$D$21/Calculation!$H$11*(1-(1/'Frequency Data'!$A23)^2))^2)*IF(Main!$Q$24,1,0)</f>
        <v>0.37089991217325619</v>
      </c>
      <c r="T23">
        <f>IF(R23=10,0,$O$188)*IF(Main!$Q$23,1,0)*IF($A23&lt;Main!$S$29,1,0)</f>
        <v>0</v>
      </c>
    </row>
    <row r="24" spans="1:20" x14ac:dyDescent="0.3">
      <c r="A24">
        <v>0.32</v>
      </c>
      <c r="B24" s="48">
        <f>Main!$B$18</f>
        <v>1.171664943123061</v>
      </c>
      <c r="C24">
        <f>1/SQRT((1-Calculation!$B$21/Calculation!$B$19*((1/'Frequency Data'!$A24)^2-1))^2+(Calculation!$B$3*'Frequency Data'!$A24*Calculation!$B$21/Calculation!$B$11*(1-(1/'Frequency Data'!$A24)^2))^2)</f>
        <v>1.1971990863624389</v>
      </c>
      <c r="D24">
        <f>1/SQRT((1-Calculation!$D$21/Calculation!$D$19*((1/'Frequency Data'!$A24)^2-1))^2+(Calculation!$D$3*'Frequency Data'!$A24*Calculation!$D$21/Calculation!$D$11*(1-(1/'Frequency Data'!$A24)^2))^2)</f>
        <v>0.65472393802532558</v>
      </c>
      <c r="E24" s="48">
        <f>Main!$B$19</f>
        <v>0.94069505396750086</v>
      </c>
      <c r="F24" s="48"/>
      <c r="G24" s="63">
        <f>IF(A24&lt;Main!$K$23,0,Main!$B$18)*IF(A24&lt;Main!$L$23,1,0)</f>
        <v>0</v>
      </c>
      <c r="H24" s="63">
        <f>IF(A24&lt;Main!$K$24,0,Main!$B$18)*IF(A24&lt;Main!$L$24,1,0)</f>
        <v>0</v>
      </c>
      <c r="J24">
        <f>IF(A24&gt;Main!$K$23,ABS(C24-$E24),10)</f>
        <v>10</v>
      </c>
      <c r="L24">
        <f>IF(A24&gt;Main!$K$23,ABS(D24-E24),10)</f>
        <v>10</v>
      </c>
      <c r="N24">
        <f>IF($A24&gt;Main!Q$28,ABS(O24-$E24),10)</f>
        <v>10</v>
      </c>
      <c r="O24">
        <f>1/SQRT((1-Calculation!$D$21/Calculation!$D$19*((1/'Frequency Data'!$A24)^2-1))^2+(Calculation!$D$3*'Frequency Data'!$A24*Calculation!$D$21/Calculation!$G$11*(1-(1/'Frequency Data'!$A24)^2))^2)*IF(Main!$Q$23,1,0)</f>
        <v>0.60567778507031989</v>
      </c>
      <c r="P24">
        <f>IF(N24=10,0,$O$188)*IF(Main!$Q$23,1,0)*IF($A24&lt;Main!$S$28,1,0)</f>
        <v>0</v>
      </c>
      <c r="R24">
        <f>IF($A24&gt;Main!Q$29,ABS(S24-$E24),10)</f>
        <v>10</v>
      </c>
      <c r="S24">
        <f>1/SQRT((1-Calculation!$D$21/Calculation!$D$19*((1/'Frequency Data'!$A24)^2-1))^2+(Calculation!$D$3*'Frequency Data'!$A24*Calculation!$D$21/Calculation!$H$11*(1-(1/'Frequency Data'!$A24)^2))^2)*IF(Main!$Q$24,1,0)</f>
        <v>0.38943879539433501</v>
      </c>
      <c r="T24">
        <f>IF(R24=10,0,$O$188)*IF(Main!$Q$23,1,0)*IF($A24&lt;Main!$S$29,1,0)</f>
        <v>0</v>
      </c>
    </row>
    <row r="25" spans="1:20" x14ac:dyDescent="0.3">
      <c r="A25">
        <v>0.33</v>
      </c>
      <c r="B25" s="48">
        <f>Main!$B$18</f>
        <v>1.171664943123061</v>
      </c>
      <c r="C25">
        <f>1/SQRT((1-Calculation!$B$21/Calculation!$B$19*((1/'Frequency Data'!$A25)^2-1))^2+(Calculation!$B$3*'Frequency Data'!$A25*Calculation!$B$21/Calculation!$B$11*(1-(1/'Frequency Data'!$A25)^2))^2)</f>
        <v>1.2124166331572377</v>
      </c>
      <c r="D25">
        <f>1/SQRT((1-Calculation!$D$21/Calculation!$D$19*((1/'Frequency Data'!$A25)^2-1))^2+(Calculation!$D$3*'Frequency Data'!$A25*Calculation!$D$21/Calculation!$D$11*(1-(1/'Frequency Data'!$A25)^2))^2)</f>
        <v>0.69731195413638147</v>
      </c>
      <c r="E25" s="48">
        <f>Main!$B$19</f>
        <v>0.94069505396750086</v>
      </c>
      <c r="F25" s="48"/>
      <c r="G25" s="63">
        <f>IF(A25&lt;Main!$K$23,0,Main!$B$18)*IF(A25&lt;Main!$L$23,1,0)</f>
        <v>0</v>
      </c>
      <c r="H25" s="63">
        <f>IF(A25&lt;Main!$K$24,0,Main!$B$18)*IF(A25&lt;Main!$L$24,1,0)</f>
        <v>0</v>
      </c>
      <c r="J25">
        <f>IF(A25&gt;Main!$K$23,ABS(C25-$E25),10)</f>
        <v>10</v>
      </c>
      <c r="L25">
        <f>IF(A25&gt;Main!$K$23,ABS(D25-E25),10)</f>
        <v>10</v>
      </c>
      <c r="N25">
        <f>IF($A25&gt;Main!Q$28,ABS(O25-$E25),10)</f>
        <v>10</v>
      </c>
      <c r="O25">
        <f>1/SQRT((1-Calculation!$D$21/Calculation!$D$19*((1/'Frequency Data'!$A25)^2-1))^2+(Calculation!$D$3*'Frequency Data'!$A25*Calculation!$D$21/Calculation!$G$11*(1-(1/'Frequency Data'!$A25)^2))^2)*IF(Main!$Q$23,1,0)</f>
        <v>0.64270580009163769</v>
      </c>
      <c r="P25">
        <f>IF(N25=10,0,$O$188)*IF(Main!$Q$23,1,0)*IF($A25&lt;Main!$S$28,1,0)</f>
        <v>0</v>
      </c>
      <c r="R25">
        <f>IF($A25&gt;Main!Q$29,ABS(S25-$E25),10)</f>
        <v>10</v>
      </c>
      <c r="S25">
        <f>1/SQRT((1-Calculation!$D$21/Calculation!$D$19*((1/'Frequency Data'!$A25)^2-1))^2+(Calculation!$D$3*'Frequency Data'!$A25*Calculation!$D$21/Calculation!$H$11*(1-(1/'Frequency Data'!$A25)^2))^2)*IF(Main!$Q$24,1,0)</f>
        <v>0.40807141273960806</v>
      </c>
      <c r="T25">
        <f>IF(R25=10,0,$O$188)*IF(Main!$Q$23,1,0)*IF($A25&lt;Main!$S$29,1,0)</f>
        <v>0</v>
      </c>
    </row>
    <row r="26" spans="1:20" x14ac:dyDescent="0.3">
      <c r="A26">
        <v>0.34</v>
      </c>
      <c r="B26" s="48">
        <f>Main!$B$18</f>
        <v>1.171664943123061</v>
      </c>
      <c r="C26">
        <f>1/SQRT((1-Calculation!$B$21/Calculation!$B$19*((1/'Frequency Data'!$A26)^2-1))^2+(Calculation!$B$3*'Frequency Data'!$A26*Calculation!$B$21/Calculation!$B$11*(1-(1/'Frequency Data'!$A26)^2))^2)</f>
        <v>1.2229698311310788</v>
      </c>
      <c r="D26">
        <f>1/SQRT((1-Calculation!$D$21/Calculation!$D$19*((1/'Frequency Data'!$A26)^2-1))^2+(Calculation!$D$3*'Frequency Data'!$A26*Calculation!$D$21/Calculation!$D$11*(1-(1/'Frequency Data'!$A26)^2))^2)</f>
        <v>0.73997030840113853</v>
      </c>
      <c r="E26" s="48">
        <f>Main!$B$19</f>
        <v>0.94069505396750086</v>
      </c>
      <c r="F26" s="48"/>
      <c r="G26" s="63">
        <f>IF(A26&lt;Main!$K$23,0,Main!$B$18)*IF(A26&lt;Main!$L$23,1,0)</f>
        <v>0</v>
      </c>
      <c r="H26" s="63">
        <f>IF(A26&lt;Main!$K$24,0,Main!$B$18)*IF(A26&lt;Main!$L$24,1,0)</f>
        <v>0</v>
      </c>
      <c r="J26">
        <f>IF(A26&gt;Main!$K$23,ABS(C26-$E26),10)</f>
        <v>10</v>
      </c>
      <c r="L26">
        <f>IF(A26&gt;Main!$K$23,ABS(D26-E26),10)</f>
        <v>10</v>
      </c>
      <c r="N26">
        <f>IF($A26&gt;Main!Q$28,ABS(O26-$E26),10)</f>
        <v>10</v>
      </c>
      <c r="O26">
        <f>1/SQRT((1-Calculation!$D$21/Calculation!$D$19*((1/'Frequency Data'!$A26)^2-1))^2+(Calculation!$D$3*'Frequency Data'!$A26*Calculation!$D$21/Calculation!$G$11*(1-(1/'Frequency Data'!$A26)^2))^2)*IF(Main!$Q$23,1,0)</f>
        <v>0.67972930210677129</v>
      </c>
      <c r="P26">
        <f>IF(N26=10,0,$O$188)*IF(Main!$Q$23,1,0)*IF($A26&lt;Main!$S$28,1,0)</f>
        <v>0</v>
      </c>
      <c r="R26">
        <f>IF($A26&gt;Main!Q$29,ABS(S26-$E26),10)</f>
        <v>10</v>
      </c>
      <c r="S26">
        <f>1/SQRT((1-Calculation!$D$21/Calculation!$D$19*((1/'Frequency Data'!$A26)^2-1))^2+(Calculation!$D$3*'Frequency Data'!$A26*Calculation!$D$21/Calculation!$H$11*(1-(1/'Frequency Data'!$A26)^2))^2)*IF(Main!$Q$24,1,0)</f>
        <v>0.42677651755828544</v>
      </c>
      <c r="T26">
        <f>IF(R26=10,0,$O$188)*IF(Main!$Q$23,1,0)*IF($A26&lt;Main!$S$29,1,0)</f>
        <v>0</v>
      </c>
    </row>
    <row r="27" spans="1:20" x14ac:dyDescent="0.3">
      <c r="A27">
        <v>0.35</v>
      </c>
      <c r="B27" s="48">
        <f>Main!$B$18</f>
        <v>1.171664943123061</v>
      </c>
      <c r="C27">
        <f>1/SQRT((1-Calculation!$B$21/Calculation!$B$19*((1/'Frequency Data'!$A27)^2-1))^2+(Calculation!$B$3*'Frequency Data'!$A27*Calculation!$B$21/Calculation!$B$11*(1-(1/'Frequency Data'!$A27)^2))^2)</f>
        <v>1.2295861004226853</v>
      </c>
      <c r="D27">
        <f>1/SQRT((1-Calculation!$D$21/Calculation!$D$19*((1/'Frequency Data'!$A27)^2-1))^2+(Calculation!$D$3*'Frequency Data'!$A27*Calculation!$D$21/Calculation!$D$11*(1-(1/'Frequency Data'!$A27)^2))^2)</f>
        <v>0.78233154543392636</v>
      </c>
      <c r="E27" s="48">
        <f>Main!$B$19</f>
        <v>0.94069505396750086</v>
      </c>
      <c r="F27" s="48"/>
      <c r="G27" s="63">
        <f>IF(A27&lt;Main!$K$23,0,Main!$B$18)*IF(A27&lt;Main!$L$23,1,0)</f>
        <v>0</v>
      </c>
      <c r="H27" s="63">
        <f>IF(A27&lt;Main!$K$24,0,Main!$B$18)*IF(A27&lt;Main!$L$24,1,0)</f>
        <v>0</v>
      </c>
      <c r="J27">
        <f>IF(A27&gt;Main!$K$23,ABS(C27-$E27),10)</f>
        <v>10</v>
      </c>
      <c r="L27">
        <f>IF(A27&gt;Main!$K$23,ABS(D27-E27),10)</f>
        <v>10</v>
      </c>
      <c r="N27">
        <f>IF($A27&gt;Main!Q$28,ABS(O27-$E27),10)</f>
        <v>10</v>
      </c>
      <c r="O27">
        <f>1/SQRT((1-Calculation!$D$21/Calculation!$D$19*((1/'Frequency Data'!$A27)^2-1))^2+(Calculation!$D$3*'Frequency Data'!$A27*Calculation!$D$21/Calculation!$G$11*(1-(1/'Frequency Data'!$A27)^2))^2)*IF(Main!$Q$23,1,0)</f>
        <v>0.71649550017550789</v>
      </c>
      <c r="P27">
        <f>IF(N27=10,0,$O$188)*IF(Main!$Q$23,1,0)*IF($A27&lt;Main!$S$28,1,0)</f>
        <v>0</v>
      </c>
      <c r="R27">
        <f>IF($A27&gt;Main!Q$29,ABS(S27-$E27),10)</f>
        <v>10</v>
      </c>
      <c r="S27">
        <f>1/SQRT((1-Calculation!$D$21/Calculation!$D$19*((1/'Frequency Data'!$A27)^2-1))^2+(Calculation!$D$3*'Frequency Data'!$A27*Calculation!$D$21/Calculation!$H$11*(1-(1/'Frequency Data'!$A27)^2))^2)*IF(Main!$Q$24,1,0)</f>
        <v>0.445533189367463</v>
      </c>
      <c r="T27">
        <f>IF(R27=10,0,$O$188)*IF(Main!$Q$23,1,0)*IF($A27&lt;Main!$S$29,1,0)</f>
        <v>0</v>
      </c>
    </row>
    <row r="28" spans="1:20" x14ac:dyDescent="0.3">
      <c r="A28">
        <v>0.36</v>
      </c>
      <c r="B28" s="48">
        <f>Main!$B$18</f>
        <v>1.171664943123061</v>
      </c>
      <c r="C28">
        <f>1/SQRT((1-Calculation!$B$21/Calculation!$B$19*((1/'Frequency Data'!$A28)^2-1))^2+(Calculation!$B$3*'Frequency Data'!$A28*Calculation!$B$21/Calculation!$B$11*(1-(1/'Frequency Data'!$A28)^2))^2)</f>
        <v>1.2329551904028286</v>
      </c>
      <c r="D28">
        <f>1/SQRT((1-Calculation!$D$21/Calculation!$D$19*((1/'Frequency Data'!$A28)^2-1))^2+(Calculation!$D$3*'Frequency Data'!$A28*Calculation!$D$21/Calculation!$D$11*(1-(1/'Frequency Data'!$A28)^2))^2)</f>
        <v>0.82400908114177041</v>
      </c>
      <c r="E28" s="48">
        <f>Main!$B$19</f>
        <v>0.94069505396750086</v>
      </c>
      <c r="F28" s="48"/>
      <c r="G28" s="63">
        <f>IF(A28&lt;Main!$K$23,0,Main!$B$18)*IF(A28&lt;Main!$L$23,1,0)</f>
        <v>0</v>
      </c>
      <c r="H28" s="63">
        <f>IF(A28&lt;Main!$K$24,0,Main!$B$18)*IF(A28&lt;Main!$L$24,1,0)</f>
        <v>0</v>
      </c>
      <c r="J28">
        <f>IF(A28&gt;Main!$K$23,ABS(C28-$E28),10)</f>
        <v>10</v>
      </c>
      <c r="L28">
        <f>IF(A28&gt;Main!$K$23,ABS(D28-E28),10)</f>
        <v>10</v>
      </c>
      <c r="N28">
        <f>IF($A28&gt;Main!Q$28,ABS(O28-$E28),10)</f>
        <v>10</v>
      </c>
      <c r="O28">
        <f>1/SQRT((1-Calculation!$D$21/Calculation!$D$19*((1/'Frequency Data'!$A28)^2-1))^2+(Calculation!$D$3*'Frequency Data'!$A28*Calculation!$D$21/Calculation!$G$11*(1-(1/'Frequency Data'!$A28)^2))^2)*IF(Main!$Q$23,1,0)</f>
        <v>0.7527440907465881</v>
      </c>
      <c r="P28">
        <f>IF(N28=10,0,$O$188)*IF(Main!$Q$23,1,0)*IF($A28&lt;Main!$S$28,1,0)</f>
        <v>0</v>
      </c>
      <c r="R28">
        <f>IF($A28&gt;Main!Q$29,ABS(S28-$E28),10)</f>
        <v>10</v>
      </c>
      <c r="S28">
        <f>1/SQRT((1-Calculation!$D$21/Calculation!$D$19*((1/'Frequency Data'!$A28)^2-1))^2+(Calculation!$D$3*'Frequency Data'!$A28*Calculation!$D$21/Calculation!$H$11*(1-(1/'Frequency Data'!$A28)^2))^2)*IF(Main!$Q$24,1,0)</f>
        <v>0.46432073128435764</v>
      </c>
      <c r="T28">
        <f>IF(R28=10,0,$O$188)*IF(Main!$Q$23,1,0)*IF($A28&lt;Main!$S$29,1,0)</f>
        <v>0</v>
      </c>
    </row>
    <row r="29" spans="1:20" x14ac:dyDescent="0.3">
      <c r="A29">
        <v>0.37</v>
      </c>
      <c r="B29" s="48">
        <f>Main!$B$18</f>
        <v>1.171664943123061</v>
      </c>
      <c r="C29">
        <f>1/SQRT((1-Calculation!$B$21/Calculation!$B$19*((1/'Frequency Data'!$A29)^2-1))^2+(Calculation!$B$3*'Frequency Data'!$A29*Calculation!$B$21/Calculation!$B$11*(1-(1/'Frequency Data'!$A29)^2))^2)</f>
        <v>1.2337011470177977</v>
      </c>
      <c r="D29">
        <f>1/SQRT((1-Calculation!$D$21/Calculation!$D$19*((1/'Frequency Data'!$A29)^2-1))^2+(Calculation!$D$3*'Frequency Data'!$A29*Calculation!$D$21/Calculation!$D$11*(1-(1/'Frequency Data'!$A29)^2))^2)</f>
        <v>0.86461015557522591</v>
      </c>
      <c r="E29" s="48">
        <f>Main!$B$19</f>
        <v>0.94069505396750086</v>
      </c>
      <c r="F29" s="48"/>
      <c r="G29" s="63">
        <f>IF(A29&lt;Main!$K$23,0,Main!$B$18)*IF(A29&lt;Main!$L$23,1,0)</f>
        <v>0</v>
      </c>
      <c r="H29" s="63">
        <f>IF(A29&lt;Main!$K$24,0,Main!$B$18)*IF(A29&lt;Main!$L$24,1,0)</f>
        <v>0</v>
      </c>
      <c r="J29">
        <f>IF(A29&gt;Main!$K$23,ABS(C29-$E29),10)</f>
        <v>10</v>
      </c>
      <c r="L29">
        <f>IF(A29&gt;Main!$K$23,ABS(D29-E29),10)</f>
        <v>10</v>
      </c>
      <c r="N29">
        <f>IF($A29&gt;Main!Q$28,ABS(O29-$E29),10)</f>
        <v>10</v>
      </c>
      <c r="O29">
        <f>1/SQRT((1-Calculation!$D$21/Calculation!$D$19*((1/'Frequency Data'!$A29)^2-1))^2+(Calculation!$D$3*'Frequency Data'!$A29*Calculation!$D$21/Calculation!$G$11*(1-(1/'Frequency Data'!$A29)^2))^2)*IF(Main!$Q$23,1,0)</f>
        <v>0.78821429761942752</v>
      </c>
      <c r="P29">
        <f>IF(N29=10,0,$O$188)*IF(Main!$Q$23,1,0)*IF($A29&lt;Main!$S$28,1,0)</f>
        <v>0</v>
      </c>
      <c r="R29">
        <f>IF($A29&gt;Main!Q$29,ABS(S29-$E29),10)</f>
        <v>10</v>
      </c>
      <c r="S29">
        <f>1/SQRT((1-Calculation!$D$21/Calculation!$D$19*((1/'Frequency Data'!$A29)^2-1))^2+(Calculation!$D$3*'Frequency Data'!$A29*Calculation!$D$21/Calculation!$H$11*(1-(1/'Frequency Data'!$A29)^2))^2)*IF(Main!$Q$24,1,0)</f>
        <v>0.48311857641025713</v>
      </c>
      <c r="T29">
        <f>IF(R29=10,0,$O$188)*IF(Main!$Q$23,1,0)*IF($A29&lt;Main!$S$29,1,0)</f>
        <v>0</v>
      </c>
    </row>
    <row r="30" spans="1:20" x14ac:dyDescent="0.3">
      <c r="A30">
        <v>0.38</v>
      </c>
      <c r="B30" s="48">
        <f>Main!$B$18</f>
        <v>1.171664943123061</v>
      </c>
      <c r="C30">
        <f>1/SQRT((1-Calculation!$B$21/Calculation!$B$19*((1/'Frequency Data'!$A30)^2-1))^2+(Calculation!$B$3*'Frequency Data'!$A30*Calculation!$B$21/Calculation!$B$11*(1-(1/'Frequency Data'!$A30)^2))^2)</f>
        <v>1.2323691232897609</v>
      </c>
      <c r="D30">
        <f>1/SQRT((1-Calculation!$D$21/Calculation!$D$19*((1/'Frequency Data'!$A30)^2-1))^2+(Calculation!$D$3*'Frequency Data'!$A30*Calculation!$D$21/Calculation!$D$11*(1-(1/'Frequency Data'!$A30)^2))^2)</f>
        <v>0.90375057333235509</v>
      </c>
      <c r="E30" s="48">
        <f>Main!$B$19</f>
        <v>0.94069505396750086</v>
      </c>
      <c r="F30" s="48"/>
      <c r="G30" s="63">
        <f>IF(A30&lt;Main!$K$23,0,Main!$B$18)*IF(A30&lt;Main!$L$23,1,0)</f>
        <v>0</v>
      </c>
      <c r="H30" s="63">
        <f>IF(A30&lt;Main!$K$24,0,Main!$B$18)*IF(A30&lt;Main!$L$24,1,0)</f>
        <v>0</v>
      </c>
      <c r="J30">
        <f>IF(A30&gt;Main!$K$23,ABS(C30-$E30),10)</f>
        <v>10</v>
      </c>
      <c r="L30">
        <f>IF(A30&gt;Main!$K$23,ABS(D30-E30),10)</f>
        <v>10</v>
      </c>
      <c r="N30">
        <f>IF($A30&gt;Main!Q$28,ABS(O30-$E30),10)</f>
        <v>10</v>
      </c>
      <c r="O30">
        <f>1/SQRT((1-Calculation!$D$21/Calculation!$D$19*((1/'Frequency Data'!$A30)^2-1))^2+(Calculation!$D$3*'Frequency Data'!$A30*Calculation!$D$21/Calculation!$G$11*(1-(1/'Frequency Data'!$A30)^2))^2)*IF(Main!$Q$23,1,0)</f>
        <v>0.82265248178475803</v>
      </c>
      <c r="P30">
        <f>IF(N30=10,0,$O$188)*IF(Main!$Q$23,1,0)*IF($A30&lt;Main!$S$28,1,0)</f>
        <v>0</v>
      </c>
      <c r="R30">
        <f>IF($A30&gt;Main!Q$29,ABS(S30-$E30),10)</f>
        <v>10</v>
      </c>
      <c r="S30">
        <f>1/SQRT((1-Calculation!$D$21/Calculation!$D$19*((1/'Frequency Data'!$A30)^2-1))^2+(Calculation!$D$3*'Frequency Data'!$A30*Calculation!$D$21/Calculation!$H$11*(1-(1/'Frequency Data'!$A30)^2))^2)*IF(Main!$Q$24,1,0)</f>
        <v>0.50190620422267307</v>
      </c>
      <c r="T30">
        <f>IF(R30=10,0,$O$188)*IF(Main!$Q$23,1,0)*IF($A30&lt;Main!$S$29,1,0)</f>
        <v>0</v>
      </c>
    </row>
    <row r="31" spans="1:20" x14ac:dyDescent="0.3">
      <c r="A31">
        <v>0.39</v>
      </c>
      <c r="B31" s="48">
        <f>Main!$B$18</f>
        <v>1.171664943123061</v>
      </c>
      <c r="C31">
        <f>1/SQRT((1-Calculation!$B$21/Calculation!$B$19*((1/'Frequency Data'!$A31)^2-1))^2+(Calculation!$B$3*'Frequency Data'!$A31*Calculation!$B$21/Calculation!$B$11*(1-(1/'Frequency Data'!$A31)^2))^2)</f>
        <v>1.229422716714401</v>
      </c>
      <c r="D31">
        <f>1/SQRT((1-Calculation!$D$21/Calculation!$D$19*((1/'Frequency Data'!$A31)^2-1))^2+(Calculation!$D$3*'Frequency Data'!$A31*Calculation!$D$21/Calculation!$D$11*(1-(1/'Frequency Data'!$A31)^2))^2)</f>
        <v>0.9410700969978657</v>
      </c>
      <c r="E31" s="48">
        <f>Main!$B$19</f>
        <v>0.94069505396750086</v>
      </c>
      <c r="F31" s="48"/>
      <c r="G31" s="63">
        <f>IF(A31&lt;Main!$K$23,0,Main!$B$18)*IF(A31&lt;Main!$L$23,1,0)</f>
        <v>0</v>
      </c>
      <c r="H31" s="63">
        <f>IF(A31&lt;Main!$K$24,0,Main!$B$18)*IF(A31&lt;Main!$L$24,1,0)</f>
        <v>0</v>
      </c>
      <c r="J31">
        <f>IF(A31&gt;Main!$K$23,ABS(C31-$E31),10)</f>
        <v>10</v>
      </c>
      <c r="L31">
        <f>IF(A31&gt;Main!$K$23,ABS(D31-E31),10)</f>
        <v>10</v>
      </c>
      <c r="N31">
        <f>IF($A31&gt;Main!Q$28,ABS(O31-$E31),10)</f>
        <v>10</v>
      </c>
      <c r="O31">
        <f>1/SQRT((1-Calculation!$D$21/Calculation!$D$19*((1/'Frequency Data'!$A31)^2-1))^2+(Calculation!$D$3*'Frequency Data'!$A31*Calculation!$D$21/Calculation!$G$11*(1-(1/'Frequency Data'!$A31)^2))^2)*IF(Main!$Q$23,1,0)</f>
        <v>0.85581983890118518</v>
      </c>
      <c r="P31">
        <f>IF(N31=10,0,$O$188)*IF(Main!$Q$23,1,0)*IF($A31&lt;Main!$S$28,1,0)</f>
        <v>0</v>
      </c>
      <c r="R31">
        <f>IF($A31&gt;Main!Q$29,ABS(S31-$E31),10)</f>
        <v>10</v>
      </c>
      <c r="S31">
        <f>1/SQRT((1-Calculation!$D$21/Calculation!$D$19*((1/'Frequency Data'!$A31)^2-1))^2+(Calculation!$D$3*'Frequency Data'!$A31*Calculation!$D$21/Calculation!$H$11*(1-(1/'Frequency Data'!$A31)^2))^2)*IF(Main!$Q$24,1,0)</f>
        <v>0.5206630678657056</v>
      </c>
      <c r="T31">
        <f>IF(R31=10,0,$O$188)*IF(Main!$Q$23,1,0)*IF($A31&lt;Main!$S$29,1,0)</f>
        <v>0</v>
      </c>
    </row>
    <row r="32" spans="1:20" x14ac:dyDescent="0.3">
      <c r="A32">
        <v>0.4</v>
      </c>
      <c r="B32" s="48">
        <f>Main!$B$18</f>
        <v>1.171664943123061</v>
      </c>
      <c r="C32">
        <f>1/SQRT((1-Calculation!$B$21/Calculation!$B$19*((1/'Frequency Data'!$A32)^2-1))^2+(Calculation!$B$3*'Frequency Data'!$A32*Calculation!$B$21/Calculation!$B$11*(1-(1/'Frequency Data'!$A32)^2))^2)</f>
        <v>1.2252479486088812</v>
      </c>
      <c r="D32">
        <f>1/SQRT((1-Calculation!$D$21/Calculation!$D$19*((1/'Frequency Data'!$A32)^2-1))^2+(Calculation!$D$3*'Frequency Data'!$A32*Calculation!$D$21/Calculation!$D$11*(1-(1/'Frequency Data'!$A32)^2))^2)</f>
        <v>0.97624714959923586</v>
      </c>
      <c r="E32" s="48">
        <f>Main!$B$19</f>
        <v>0.94069505396750086</v>
      </c>
      <c r="F32" s="48"/>
      <c r="G32" s="63">
        <f>IF(A32&lt;Main!$K$23,0,Main!$B$18)*IF(A32&lt;Main!$L$23,1,0)</f>
        <v>0</v>
      </c>
      <c r="H32" s="63">
        <f>IF(A32&lt;Main!$K$24,0,Main!$B$18)*IF(A32&lt;Main!$L$24,1,0)</f>
        <v>0</v>
      </c>
      <c r="J32">
        <f>IF(A32&gt;Main!$K$23,ABS(C32-$E32),10)</f>
        <v>10</v>
      </c>
      <c r="L32">
        <f>IF(A32&gt;Main!$K$23,ABS(D32-E32),10)</f>
        <v>10</v>
      </c>
      <c r="N32">
        <f>IF($A32&gt;Main!Q$28,ABS(O32-$E32),10)</f>
        <v>10</v>
      </c>
      <c r="O32">
        <f>1/SQRT((1-Calculation!$D$21/Calculation!$D$19*((1/'Frequency Data'!$A32)^2-1))^2+(Calculation!$D$3*'Frequency Data'!$A32*Calculation!$D$21/Calculation!$G$11*(1-(1/'Frequency Data'!$A32)^2))^2)*IF(Main!$Q$23,1,0)</f>
        <v>0.88749965586688351</v>
      </c>
      <c r="P32">
        <f>IF(N32=10,0,$O$188)*IF(Main!$Q$23,1,0)*IF($A32&lt;Main!$S$28,1,0)</f>
        <v>0</v>
      </c>
      <c r="R32">
        <f>IF($A32&gt;Main!Q$29,ABS(S32-$E32),10)</f>
        <v>10</v>
      </c>
      <c r="S32">
        <f>1/SQRT((1-Calculation!$D$21/Calculation!$D$19*((1/'Frequency Data'!$A32)^2-1))^2+(Calculation!$D$3*'Frequency Data'!$A32*Calculation!$D$21/Calculation!$H$11*(1-(1/'Frequency Data'!$A32)^2))^2)*IF(Main!$Q$24,1,0)</f>
        <v>0.53936853308251642</v>
      </c>
      <c r="T32">
        <f>IF(R32=10,0,$O$188)*IF(Main!$Q$23,1,0)*IF($A32&lt;Main!$S$29,1,0)</f>
        <v>0</v>
      </c>
    </row>
    <row r="33" spans="1:20" x14ac:dyDescent="0.3">
      <c r="A33">
        <v>0.41</v>
      </c>
      <c r="B33" s="48">
        <f>Main!$B$18</f>
        <v>1.171664943123061</v>
      </c>
      <c r="C33">
        <f>1/SQRT((1-Calculation!$B$21/Calculation!$B$19*((1/'Frequency Data'!$A33)^2-1))^2+(Calculation!$B$3*'Frequency Data'!$A33*Calculation!$B$21/Calculation!$B$11*(1-(1/'Frequency Data'!$A33)^2))^2)</f>
        <v>1.2201608664016843</v>
      </c>
      <c r="D33">
        <f>1/SQRT((1-Calculation!$D$21/Calculation!$D$19*((1/'Frequency Data'!$A33)^2-1))^2+(Calculation!$D$3*'Frequency Data'!$A33*Calculation!$D$21/Calculation!$D$11*(1-(1/'Frequency Data'!$A33)^2))^2)</f>
        <v>1.0090114668794365</v>
      </c>
      <c r="E33" s="48">
        <f>Main!$B$19</f>
        <v>0.94069505396750086</v>
      </c>
      <c r="F33" s="48"/>
      <c r="G33" s="63">
        <f>IF(A33&lt;Main!$K$23,0,Main!$B$18)*IF(A33&lt;Main!$L$23,1,0)</f>
        <v>0</v>
      </c>
      <c r="H33" s="63">
        <f>IF(A33&lt;Main!$K$24,0,Main!$B$18)*IF(A33&lt;Main!$L$24,1,0)</f>
        <v>0</v>
      </c>
      <c r="J33">
        <f>IF(A33&gt;Main!$K$23,ABS(C33-$E33),10)</f>
        <v>10</v>
      </c>
      <c r="L33">
        <f>IF(A33&gt;Main!$K$23,ABS(D33-E33),10)</f>
        <v>10</v>
      </c>
      <c r="N33">
        <f>IF($A33&gt;Main!Q$28,ABS(O33-$E33),10)</f>
        <v>10</v>
      </c>
      <c r="O33">
        <f>1/SQRT((1-Calculation!$D$21/Calculation!$D$19*((1/'Frequency Data'!$A33)^2-1))^2+(Calculation!$D$3*'Frequency Data'!$A33*Calculation!$D$21/Calculation!$G$11*(1-(1/'Frequency Data'!$A33)^2))^2)*IF(Main!$Q$23,1,0)</f>
        <v>0.91750361343930797</v>
      </c>
      <c r="P33">
        <f>IF(N33=10,0,$O$188)*IF(Main!$Q$23,1,0)*IF($A33&lt;Main!$S$28,1,0)</f>
        <v>0</v>
      </c>
      <c r="R33">
        <f>IF($A33&gt;Main!Q$29,ABS(S33-$E33),10)</f>
        <v>10</v>
      </c>
      <c r="S33">
        <f>1/SQRT((1-Calculation!$D$21/Calculation!$D$19*((1/'Frequency Data'!$A33)^2-1))^2+(Calculation!$D$3*'Frequency Data'!$A33*Calculation!$D$21/Calculation!$H$11*(1-(1/'Frequency Data'!$A33)^2))^2)*IF(Main!$Q$24,1,0)</f>
        <v>0.5580018294019673</v>
      </c>
      <c r="T33">
        <f>IF(R33=10,0,$O$188)*IF(Main!$Q$23,1,0)*IF($A33&lt;Main!$S$29,1,0)</f>
        <v>0</v>
      </c>
    </row>
    <row r="34" spans="1:20" x14ac:dyDescent="0.3">
      <c r="A34">
        <v>0.42</v>
      </c>
      <c r="B34" s="48">
        <f>Main!$B$18</f>
        <v>1.171664943123061</v>
      </c>
      <c r="C34">
        <f>1/SQRT((1-Calculation!$B$21/Calculation!$B$19*((1/'Frequency Data'!$A34)^2-1))^2+(Calculation!$B$3*'Frequency Data'!$A34*Calculation!$B$21/Calculation!$B$11*(1-(1/'Frequency Data'!$A34)^2))^2)</f>
        <v>1.2144166611183129</v>
      </c>
      <c r="D34">
        <f>1/SQRT((1-Calculation!$D$21/Calculation!$D$19*((1/'Frequency Data'!$A34)^2-1))^2+(Calculation!$D$3*'Frequency Data'!$A34*Calculation!$D$21/Calculation!$D$11*(1-(1/'Frequency Data'!$A34)^2))^2)</f>
        <v>1.0391535410409913</v>
      </c>
      <c r="E34" s="48">
        <f>Main!$B$19</f>
        <v>0.94069505396750086</v>
      </c>
      <c r="F34" s="48"/>
      <c r="G34" s="63">
        <f>IF(A34&lt;Main!$K$23,0,Main!$B$18)*IF(A34&lt;Main!$L$23,1,0)</f>
        <v>0</v>
      </c>
      <c r="H34" s="63">
        <f>IF(A34&lt;Main!$K$24,0,Main!$B$18)*IF(A34&lt;Main!$L$24,1,0)</f>
        <v>0</v>
      </c>
      <c r="J34">
        <f>IF(A34&gt;Main!$K$23,ABS(C34-$E34),10)</f>
        <v>10</v>
      </c>
      <c r="L34">
        <f>IF(A34&gt;Main!$K$23,ABS(D34-E34),10)</f>
        <v>10</v>
      </c>
      <c r="N34">
        <f>IF($A34&gt;Main!Q$28,ABS(O34-$E34),10)</f>
        <v>10</v>
      </c>
      <c r="O34">
        <f>1/SQRT((1-Calculation!$D$21/Calculation!$D$19*((1/'Frequency Data'!$A34)^2-1))^2+(Calculation!$D$3*'Frequency Data'!$A34*Calculation!$D$21/Calculation!$G$11*(1-(1/'Frequency Data'!$A34)^2))^2)*IF(Main!$Q$23,1,0)</f>
        <v>0.94567670069723075</v>
      </c>
      <c r="P34">
        <f>IF(N34=10,0,$O$188)*IF(Main!$Q$23,1,0)*IF($A34&lt;Main!$S$28,1,0)</f>
        <v>0</v>
      </c>
      <c r="R34">
        <f>IF($A34&gt;Main!Q$29,ABS(S34-$E34),10)</f>
        <v>10</v>
      </c>
      <c r="S34">
        <f>1/SQRT((1-Calculation!$D$21/Calculation!$D$19*((1/'Frequency Data'!$A34)^2-1))^2+(Calculation!$D$3*'Frequency Data'!$A34*Calculation!$D$21/Calculation!$H$11*(1-(1/'Frequency Data'!$A34)^2))^2)*IF(Main!$Q$24,1,0)</f>
        <v>0.57654201406806349</v>
      </c>
      <c r="T34">
        <f>IF(R34=10,0,$O$188)*IF(Main!$Q$23,1,0)*IF($A34&lt;Main!$S$29,1,0)</f>
        <v>0</v>
      </c>
    </row>
    <row r="35" spans="1:20" x14ac:dyDescent="0.3">
      <c r="A35">
        <v>0.43</v>
      </c>
      <c r="B35" s="48">
        <f>Main!$B$18</f>
        <v>1.171664943123061</v>
      </c>
      <c r="C35">
        <f>1/SQRT((1-Calculation!$B$21/Calculation!$B$19*((1/'Frequency Data'!$A35)^2-1))^2+(Calculation!$B$3*'Frequency Data'!$A35*Calculation!$B$21/Calculation!$B$11*(1-(1/'Frequency Data'!$A35)^2))^2)</f>
        <v>1.2082189625008273</v>
      </c>
      <c r="D35">
        <f>1/SQRT((1-Calculation!$D$21/Calculation!$D$19*((1/'Frequency Data'!$A35)^2-1))^2+(Calculation!$D$3*'Frequency Data'!$A35*Calculation!$D$21/Calculation!$D$11*(1-(1/'Frequency Data'!$A35)^2))^2)</f>
        <v>1.0665300847498098</v>
      </c>
      <c r="E35" s="48">
        <f>Main!$B$19</f>
        <v>0.94069505396750086</v>
      </c>
      <c r="F35" s="48"/>
      <c r="G35" s="63">
        <f>IF(A35&lt;Main!$K$23,0,Main!$B$18)*IF(A35&lt;Main!$L$23,1,0)</f>
        <v>0</v>
      </c>
      <c r="H35" s="63">
        <f>IF(A35&lt;Main!$K$24,0,Main!$B$18)*IF(A35&lt;Main!$L$24,1,0)</f>
        <v>0</v>
      </c>
      <c r="J35">
        <f>IF(A35&gt;Main!$K$23,ABS(C35-$E35),10)</f>
        <v>10</v>
      </c>
      <c r="L35">
        <f>IF(A35&gt;Main!$K$23,ABS(D35-E35),10)</f>
        <v>10</v>
      </c>
      <c r="N35">
        <f>IF($A35&gt;Main!Q$28,ABS(O35-$E35),10)</f>
        <v>10</v>
      </c>
      <c r="O35">
        <f>1/SQRT((1-Calculation!$D$21/Calculation!$D$19*((1/'Frequency Data'!$A35)^2-1))^2+(Calculation!$D$3*'Frequency Data'!$A35*Calculation!$D$21/Calculation!$G$11*(1-(1/'Frequency Data'!$A35)^2))^2)*IF(Main!$Q$23,1,0)</f>
        <v>0.97190043897791933</v>
      </c>
      <c r="P35">
        <f>IF(N35=10,0,$O$188)*IF(Main!$Q$23,1,0)*IF($A35&lt;Main!$S$28,1,0)</f>
        <v>0</v>
      </c>
      <c r="R35">
        <f>IF($A35&gt;Main!Q$29,ABS(S35-$E35),10)</f>
        <v>10</v>
      </c>
      <c r="S35">
        <f>1/SQRT((1-Calculation!$D$21/Calculation!$D$19*((1/'Frequency Data'!$A35)^2-1))^2+(Calculation!$D$3*'Frequency Data'!$A35*Calculation!$D$21/Calculation!$H$11*(1-(1/'Frequency Data'!$A35)^2))^2)*IF(Main!$Q$24,1,0)</f>
        <v>0.59496794908065131</v>
      </c>
      <c r="T35">
        <f>IF(R35=10,0,$O$188)*IF(Main!$Q$23,1,0)*IF($A35&lt;Main!$S$29,1,0)</f>
        <v>0</v>
      </c>
    </row>
    <row r="36" spans="1:20" x14ac:dyDescent="0.3">
      <c r="A36">
        <v>0.44</v>
      </c>
      <c r="B36" s="48">
        <f>Main!$B$18</f>
        <v>1.171664943123061</v>
      </c>
      <c r="C36">
        <f>1/SQRT((1-Calculation!$B$21/Calculation!$B$19*((1/'Frequency Data'!$A36)^2-1))^2+(Calculation!$B$3*'Frequency Data'!$A36*Calculation!$B$21/Calculation!$B$11*(1-(1/'Frequency Data'!$A36)^2))^2)</f>
        <v>1.2017285485089535</v>
      </c>
      <c r="D36">
        <f>1/SQRT((1-Calculation!$D$21/Calculation!$D$19*((1/'Frequency Data'!$A36)^2-1))^2+(Calculation!$D$3*'Frequency Data'!$A36*Calculation!$D$21/Calculation!$D$11*(1-(1/'Frequency Data'!$A36)^2))^2)</f>
        <v>1.091065242086865</v>
      </c>
      <c r="E36" s="48">
        <f>Main!$B$19</f>
        <v>0.94069505396750086</v>
      </c>
      <c r="F36" s="48"/>
      <c r="G36" s="63">
        <f>IF(A36&lt;Main!$K$23,0,Main!$B$18)*IF(A36&lt;Main!$L$23,1,0)</f>
        <v>0</v>
      </c>
      <c r="H36" s="63">
        <f>IF(A36&lt;Main!$K$24,0,Main!$B$18)*IF(A36&lt;Main!$L$24,1,0)</f>
        <v>0</v>
      </c>
      <c r="J36">
        <f>IF(A36&gt;Main!$K$23,ABS(C36-$E36),10)</f>
        <v>10</v>
      </c>
      <c r="L36">
        <f>IF(A36&gt;Main!$K$23,ABS(D36-E36),10)</f>
        <v>10</v>
      </c>
      <c r="N36">
        <f>IF($A36&gt;Main!Q$28,ABS(O36-$E36),10)</f>
        <v>10</v>
      </c>
      <c r="O36">
        <f>1/SQRT((1-Calculation!$D$21/Calculation!$D$19*((1/'Frequency Data'!$A36)^2-1))^2+(Calculation!$D$3*'Frequency Data'!$A36*Calculation!$D$21/Calculation!$G$11*(1-(1/'Frequency Data'!$A36)^2))^2)*IF(Main!$Q$23,1,0)</f>
        <v>0.99609427743346235</v>
      </c>
      <c r="P36">
        <f>IF(N36=10,0,$O$188)*IF(Main!$Q$23,1,0)*IF($A36&lt;Main!$S$28,1,0)</f>
        <v>0</v>
      </c>
      <c r="R36">
        <f>IF($A36&gt;Main!Q$29,ABS(S36-$E36),10)</f>
        <v>10</v>
      </c>
      <c r="S36">
        <f>1/SQRT((1-Calculation!$D$21/Calculation!$D$19*((1/'Frequency Data'!$A36)^2-1))^2+(Calculation!$D$3*'Frequency Data'!$A36*Calculation!$D$21/Calculation!$H$11*(1-(1/'Frequency Data'!$A36)^2))^2)*IF(Main!$Q$24,1,0)</f>
        <v>0.61325829159414702</v>
      </c>
      <c r="T36">
        <f>IF(R36=10,0,$O$188)*IF(Main!$Q$23,1,0)*IF($A36&lt;Main!$S$29,1,0)</f>
        <v>0</v>
      </c>
    </row>
    <row r="37" spans="1:20" x14ac:dyDescent="0.3">
      <c r="A37">
        <v>0.45</v>
      </c>
      <c r="B37" s="48">
        <f>Main!$B$18</f>
        <v>1.171664943123061</v>
      </c>
      <c r="C37">
        <f>1/SQRT((1-Calculation!$B$21/Calculation!$B$19*((1/'Frequency Data'!$A37)^2-1))^2+(Calculation!$B$3*'Frequency Data'!$A37*Calculation!$B$21/Calculation!$B$11*(1-(1/'Frequency Data'!$A37)^2))^2)</f>
        <v>1.1950710971968088</v>
      </c>
      <c r="D37">
        <f>1/SQRT((1-Calculation!$D$21/Calculation!$D$19*((1/'Frequency Data'!$A37)^2-1))^2+(Calculation!$D$3*'Frequency Data'!$A37*Calculation!$D$21/Calculation!$D$11*(1-(1/'Frequency Data'!$A37)^2))^2)</f>
        <v>1.1127477819763609</v>
      </c>
      <c r="E37" s="48">
        <f>Main!$B$19</f>
        <v>0.94069505396750086</v>
      </c>
      <c r="F37" s="48"/>
      <c r="G37" s="63">
        <f>IF(A37&lt;Main!$K$23,0,Main!$B$18)*IF(A37&lt;Main!$L$23,1,0)</f>
        <v>0</v>
      </c>
      <c r="H37" s="63">
        <f>IF(A37&lt;Main!$K$24,0,Main!$B$18)*IF(A37&lt;Main!$L$24,1,0)</f>
        <v>0</v>
      </c>
      <c r="J37">
        <f>IF(A37&gt;Main!$K$23,ABS(C37-$E37),10)</f>
        <v>10</v>
      </c>
      <c r="L37">
        <f>IF(A37&gt;Main!$K$23,ABS(D37-E37),10)</f>
        <v>10</v>
      </c>
      <c r="N37">
        <f>IF($A37&gt;Main!Q$28,ABS(O37-$E37),10)</f>
        <v>10</v>
      </c>
      <c r="O37">
        <f>1/SQRT((1-Calculation!$D$21/Calculation!$D$19*((1/'Frequency Data'!$A37)^2-1))^2+(Calculation!$D$3*'Frequency Data'!$A37*Calculation!$D$21/Calculation!$G$11*(1-(1/'Frequency Data'!$A37)^2))^2)*IF(Main!$Q$23,1,0)</f>
        <v>1.0182151938209847</v>
      </c>
      <c r="P37">
        <f>IF(N37=10,0,$O$188)*IF(Main!$Q$23,1,0)*IF($A37&lt;Main!$S$28,1,0)</f>
        <v>0</v>
      </c>
      <c r="R37">
        <f>IF($A37&gt;Main!Q$29,ABS(S37-$E37),10)</f>
        <v>10</v>
      </c>
      <c r="S37">
        <f>1/SQRT((1-Calculation!$D$21/Calculation!$D$19*((1/'Frequency Data'!$A37)^2-1))^2+(Calculation!$D$3*'Frequency Data'!$A37*Calculation!$D$21/Calculation!$H$11*(1-(1/'Frequency Data'!$A37)^2))^2)*IF(Main!$Q$24,1,0)</f>
        <v>0.63139149779422643</v>
      </c>
      <c r="T37">
        <f>IF(R37=10,0,$O$188)*IF(Main!$Q$23,1,0)*IF($A37&lt;Main!$S$29,1,0)</f>
        <v>0</v>
      </c>
    </row>
    <row r="38" spans="1:20" x14ac:dyDescent="0.3">
      <c r="A38">
        <v>0.46</v>
      </c>
      <c r="B38" s="48">
        <f>Main!$B$18</f>
        <v>1.171664943123061</v>
      </c>
      <c r="C38">
        <f>1/SQRT((1-Calculation!$B$21/Calculation!$B$19*((1/'Frequency Data'!$A38)^2-1))^2+(Calculation!$B$3*'Frequency Data'!$A38*Calculation!$B$21/Calculation!$B$11*(1-(1/'Frequency Data'!$A38)^2))^2)</f>
        <v>1.1883438553943075</v>
      </c>
      <c r="D38">
        <f>1/SQRT((1-Calculation!$D$21/Calculation!$D$19*((1/'Frequency Data'!$A38)^2-1))^2+(Calculation!$D$3*'Frequency Data'!$A38*Calculation!$D$21/Calculation!$D$11*(1-(1/'Frequency Data'!$A38)^2))^2)</f>
        <v>1.1316249341639497</v>
      </c>
      <c r="E38" s="48">
        <f>Main!$B$19</f>
        <v>0.94069505396750086</v>
      </c>
      <c r="F38" s="48"/>
      <c r="G38" s="63">
        <f>IF(A38&lt;Main!$K$23,0,Main!$B$18)*IF(A38&lt;Main!$L$23,1,0)</f>
        <v>0</v>
      </c>
      <c r="H38" s="63">
        <f>IF(A38&lt;Main!$K$24,0,Main!$B$18)*IF(A38&lt;Main!$L$24,1,0)</f>
        <v>0</v>
      </c>
      <c r="J38">
        <f>IF(A38&gt;Main!$K$23,ABS(C38-$E38),10)</f>
        <v>10</v>
      </c>
      <c r="L38">
        <f>IF(A38&gt;Main!$K$23,ABS(D38-E38),10)</f>
        <v>10</v>
      </c>
      <c r="N38">
        <f>IF($A38&gt;Main!Q$28,ABS(O38-$E38),10)</f>
        <v>10</v>
      </c>
      <c r="O38">
        <f>1/SQRT((1-Calculation!$D$21/Calculation!$D$19*((1/'Frequency Data'!$A38)^2-1))^2+(Calculation!$D$3*'Frequency Data'!$A38*Calculation!$D$21/Calculation!$G$11*(1-(1/'Frequency Data'!$A38)^2))^2)*IF(Main!$Q$23,1,0)</f>
        <v>1.03825568729295</v>
      </c>
      <c r="P38">
        <f>IF(N38=10,0,$O$188)*IF(Main!$Q$23,1,0)*IF($A38&lt;Main!$S$28,1,0)</f>
        <v>0</v>
      </c>
      <c r="R38">
        <f>IF($A38&gt;Main!Q$29,ABS(S38-$E38),10)</f>
        <v>10</v>
      </c>
      <c r="S38">
        <f>1/SQRT((1-Calculation!$D$21/Calculation!$D$19*((1/'Frequency Data'!$A38)^2-1))^2+(Calculation!$D$3*'Frequency Data'!$A38*Calculation!$D$21/Calculation!$H$11*(1-(1/'Frequency Data'!$A38)^2))^2)*IF(Main!$Q$24,1,0)</f>
        <v>0.64934584023743347</v>
      </c>
      <c r="T38">
        <f>IF(R38=10,0,$O$188)*IF(Main!$Q$23,1,0)*IF($A38&lt;Main!$S$29,1,0)</f>
        <v>0</v>
      </c>
    </row>
    <row r="39" spans="1:20" x14ac:dyDescent="0.3">
      <c r="A39">
        <v>0.47</v>
      </c>
      <c r="B39" s="48">
        <f>Main!$B$18</f>
        <v>1.171664943123061</v>
      </c>
      <c r="C39">
        <f>1/SQRT((1-Calculation!$B$21/Calculation!$B$19*((1/'Frequency Data'!$A39)^2-1))^2+(Calculation!$B$3*'Frequency Data'!$A39*Calculation!$B$21/Calculation!$B$11*(1-(1/'Frequency Data'!$A39)^2))^2)</f>
        <v>1.1816212414801368</v>
      </c>
      <c r="D39">
        <f>1/SQRT((1-Calculation!$D$21/Calculation!$D$19*((1/'Frequency Data'!$A39)^2-1))^2+(Calculation!$D$3*'Frequency Data'!$A39*Calculation!$D$21/Calculation!$D$11*(1-(1/'Frequency Data'!$A39)^2))^2)</f>
        <v>1.1477938025188332</v>
      </c>
      <c r="E39" s="48">
        <f>Main!$B$19</f>
        <v>0.94069505396750086</v>
      </c>
      <c r="F39" s="48"/>
      <c r="G39" s="63">
        <f>IF(A39&lt;Main!$K$23,0,Main!$B$18)*IF(A39&lt;Main!$L$23,1,0)</f>
        <v>0</v>
      </c>
      <c r="H39" s="63">
        <f>IF(A39&lt;Main!$K$24,0,Main!$B$18)*IF(A39&lt;Main!$L$24,1,0)</f>
        <v>0</v>
      </c>
      <c r="J39">
        <f>IF(A39&gt;Main!$K$23,ABS(C39-$E39),10)</f>
        <v>10</v>
      </c>
      <c r="L39">
        <f>IF(A39&gt;Main!$K$23,ABS(D39-E39),10)</f>
        <v>10</v>
      </c>
      <c r="N39">
        <f>IF($A39&gt;Main!Q$28,ABS(O39-$E39),10)</f>
        <v>10</v>
      </c>
      <c r="O39">
        <f>1/SQRT((1-Calculation!$D$21/Calculation!$D$19*((1/'Frequency Data'!$A39)^2-1))^2+(Calculation!$D$3*'Frequency Data'!$A39*Calculation!$D$21/Calculation!$G$11*(1-(1/'Frequency Data'!$A39)^2))^2)*IF(Main!$Q$23,1,0)</f>
        <v>1.0562404652224811</v>
      </c>
      <c r="P39">
        <f>IF(N39=10,0,$O$188)*IF(Main!$Q$23,1,0)*IF($A39&lt;Main!$S$28,1,0)</f>
        <v>0</v>
      </c>
      <c r="R39">
        <f>IF($A39&gt;Main!Q$29,ABS(S39-$E39),10)</f>
        <v>10</v>
      </c>
      <c r="S39">
        <f>1/SQRT((1-Calculation!$D$21/Calculation!$D$19*((1/'Frequency Data'!$A39)^2-1))^2+(Calculation!$D$3*'Frequency Data'!$A39*Calculation!$D$21/Calculation!$H$11*(1-(1/'Frequency Data'!$A39)^2))^2)*IF(Main!$Q$24,1,0)</f>
        <v>0.6670994384937794</v>
      </c>
      <c r="T39">
        <f>IF(R39=10,0,$O$188)*IF(Main!$Q$23,1,0)*IF($A39&lt;Main!$S$29,1,0)</f>
        <v>0</v>
      </c>
    </row>
    <row r="40" spans="1:20" x14ac:dyDescent="0.3">
      <c r="A40">
        <v>0.48</v>
      </c>
      <c r="B40" s="48">
        <f>Main!$B$18</f>
        <v>1.171664943123061</v>
      </c>
      <c r="C40">
        <f>1/SQRT((1-Calculation!$B$21/Calculation!$B$19*((1/'Frequency Data'!$A40)^2-1))^2+(Calculation!$B$3*'Frequency Data'!$A40*Calculation!$B$21/Calculation!$B$11*(1-(1/'Frequency Data'!$A40)^2))^2)</f>
        <v>1.1749594735903939</v>
      </c>
      <c r="D40">
        <f>1/SQRT((1-Calculation!$D$21/Calculation!$D$19*((1/'Frequency Data'!$A40)^2-1))^2+(Calculation!$D$3*'Frequency Data'!$A40*Calculation!$D$21/Calculation!$D$11*(1-(1/'Frequency Data'!$A40)^2))^2)</f>
        <v>1.1613913920676902</v>
      </c>
      <c r="E40" s="48">
        <f>Main!$B$19</f>
        <v>0.94069505396750086</v>
      </c>
      <c r="F40" s="48"/>
      <c r="G40" s="63">
        <f>IF(A40&lt;Main!$K$23,0,Main!$B$18)*IF(A40&lt;Main!$L$23,1,0)</f>
        <v>0</v>
      </c>
      <c r="H40" s="63">
        <f>IF(A40&lt;Main!$K$24,0,Main!$B$18)*IF(A40&lt;Main!$L$24,1,0)</f>
        <v>0</v>
      </c>
      <c r="J40">
        <f>IF(A40&gt;Main!$K$23,ABS(C40-$E40),10)</f>
        <v>10</v>
      </c>
      <c r="L40">
        <f>IF(A40&gt;Main!$K$23,ABS(D40-E40),10)</f>
        <v>10</v>
      </c>
      <c r="N40">
        <f>IF($A40&gt;Main!Q$28,ABS(O40-$E40),10)</f>
        <v>10</v>
      </c>
      <c r="O40">
        <f>1/SQRT((1-Calculation!$D$21/Calculation!$D$19*((1/'Frequency Data'!$A40)^2-1))^2+(Calculation!$D$3*'Frequency Data'!$A40*Calculation!$D$21/Calculation!$G$11*(1-(1/'Frequency Data'!$A40)^2))^2)*IF(Main!$Q$23,1,0)</f>
        <v>1.072222192918687</v>
      </c>
      <c r="P40">
        <f>IF(N40=10,0,$O$188)*IF(Main!$Q$23,1,0)*IF($A40&lt;Main!$S$28,1,0)</f>
        <v>0</v>
      </c>
      <c r="R40">
        <f>IF($A40&gt;Main!Q$29,ABS(S40-$E40),10)</f>
        <v>10</v>
      </c>
      <c r="S40">
        <f>1/SQRT((1-Calculation!$D$21/Calculation!$D$19*((1/'Frequency Data'!$A40)^2-1))^2+(Calculation!$D$3*'Frequency Data'!$A40*Calculation!$D$21/Calculation!$H$11*(1-(1/'Frequency Data'!$A40)^2))^2)*IF(Main!$Q$24,1,0)</f>
        <v>0.68463030277676884</v>
      </c>
      <c r="T40">
        <f>IF(R40=10,0,$O$188)*IF(Main!$Q$23,1,0)*IF($A40&lt;Main!$S$29,1,0)</f>
        <v>0</v>
      </c>
    </row>
    <row r="41" spans="1:20" x14ac:dyDescent="0.3">
      <c r="A41">
        <v>0.49</v>
      </c>
      <c r="B41" s="48">
        <f>Main!$B$18</f>
        <v>1.171664943123061</v>
      </c>
      <c r="C41">
        <f>1/SQRT((1-Calculation!$B$21/Calculation!$B$19*((1/'Frequency Data'!$A41)^2-1))^2+(Calculation!$B$3*'Frequency Data'!$A41*Calculation!$B$21/Calculation!$B$11*(1-(1/'Frequency Data'!$A41)^2))^2)</f>
        <v>1.1684003458071091</v>
      </c>
      <c r="D41">
        <f>1/SQRT((1-Calculation!$D$21/Calculation!$D$19*((1/'Frequency Data'!$A41)^2-1))^2+(Calculation!$D$3*'Frequency Data'!$A41*Calculation!$D$21/Calculation!$D$11*(1-(1/'Frequency Data'!$A41)^2))^2)</f>
        <v>1.1725842316677446</v>
      </c>
      <c r="E41" s="48">
        <f>Main!$B$19</f>
        <v>0.94069505396750086</v>
      </c>
      <c r="F41" s="48"/>
      <c r="G41" s="63">
        <f>IF(A41&lt;Main!$K$23,0,Main!$B$18)*IF(A41&lt;Main!$L$23,1,0)</f>
        <v>1.171664943123061</v>
      </c>
      <c r="H41" s="63">
        <f>IF(A41&lt;Main!$K$24,0,Main!$B$18)*IF(A41&lt;Main!$L$24,1,0)</f>
        <v>0</v>
      </c>
      <c r="J41">
        <f>IF(A41&gt;Main!$K$23,ABS(C41-$E41),10)</f>
        <v>0.22770529183960819</v>
      </c>
      <c r="L41">
        <f>IF(A41&gt;Main!$K$23,ABS(D41-E41),10)</f>
        <v>0.23188917770024375</v>
      </c>
      <c r="N41">
        <f>IF($A41&gt;Main!Q$28,ABS(O41-$E41),10)</f>
        <v>10</v>
      </c>
      <c r="O41">
        <f>1/SQRT((1-Calculation!$D$21/Calculation!$D$19*((1/'Frequency Data'!$A41)^2-1))^2+(Calculation!$D$3*'Frequency Data'!$A41*Calculation!$D$21/Calculation!$G$11*(1-(1/'Frequency Data'!$A41)^2))^2)*IF(Main!$Q$23,1,0)</f>
        <v>1.0862766925495142</v>
      </c>
      <c r="P41">
        <f>IF(N41=10,0,$O$188)*IF(Main!$Q$23,1,0)*IF($A41&lt;Main!$S$28,1,0)</f>
        <v>0</v>
      </c>
      <c r="R41">
        <f>IF($A41&gt;Main!Q$29,ABS(S41-$E41),10)</f>
        <v>10</v>
      </c>
      <c r="S41">
        <f>1/SQRT((1-Calculation!$D$21/Calculation!$D$19*((1/'Frequency Data'!$A41)^2-1))^2+(Calculation!$D$3*'Frequency Data'!$A41*Calculation!$D$21/Calculation!$H$11*(1-(1/'Frequency Data'!$A41)^2))^2)*IF(Main!$Q$24,1,0)</f>
        <v>0.70191639007927109</v>
      </c>
      <c r="T41">
        <f>IF(R41=10,0,$O$188)*IF(Main!$Q$23,1,0)*IF($A41&lt;Main!$S$29,1,0)</f>
        <v>0</v>
      </c>
    </row>
    <row r="42" spans="1:20" x14ac:dyDescent="0.3">
      <c r="A42">
        <v>0.5</v>
      </c>
      <c r="B42" s="48">
        <f>Main!$B$18</f>
        <v>1.171664943123061</v>
      </c>
      <c r="C42">
        <f>1/SQRT((1-Calculation!$B$21/Calculation!$B$19*((1/'Frequency Data'!$A42)^2-1))^2+(Calculation!$B$3*'Frequency Data'!$A42*Calculation!$B$21/Calculation!$B$11*(1-(1/'Frequency Data'!$A42)^2))^2)</f>
        <v>1.1619742810996745</v>
      </c>
      <c r="D42">
        <f>1/SQRT((1-Calculation!$D$21/Calculation!$D$19*((1/'Frequency Data'!$A42)^2-1))^2+(Calculation!$D$3*'Frequency Data'!$A42*Calculation!$D$21/Calculation!$D$11*(1-(1/'Frequency Data'!$A42)^2))^2)</f>
        <v>1.1815584075407735</v>
      </c>
      <c r="E42" s="48">
        <f>Main!$B$19</f>
        <v>0.94069505396750086</v>
      </c>
      <c r="F42" s="48"/>
      <c r="G42" s="63">
        <f>IF(A42&lt;Main!$K$23,0,Main!$B$18)*IF(A42&lt;Main!$L$23,1,0)</f>
        <v>1.171664943123061</v>
      </c>
      <c r="H42" s="63">
        <f>IF(A42&lt;Main!$K$24,0,Main!$B$18)*IF(A42&lt;Main!$L$24,1,0)</f>
        <v>0</v>
      </c>
      <c r="J42">
        <f>IF(A42&gt;Main!$K$23,ABS(C42-$E42),10)</f>
        <v>0.22127922713217363</v>
      </c>
      <c r="L42">
        <f>IF(A42&gt;Main!$K$23,ABS(D42-E42),10)</f>
        <v>0.2408633535732726</v>
      </c>
      <c r="N42">
        <f>IF($A42&gt;Main!Q$28,ABS(O42-$E42),10)</f>
        <v>10</v>
      </c>
      <c r="O42">
        <f>1/SQRT((1-Calculation!$D$21/Calculation!$D$19*((1/'Frequency Data'!$A42)^2-1))^2+(Calculation!$D$3*'Frequency Data'!$A42*Calculation!$D$21/Calculation!$G$11*(1-(1/'Frequency Data'!$A42)^2))^2)*IF(Main!$Q$23,1,0)</f>
        <v>1.0984979527747363</v>
      </c>
      <c r="P42">
        <f>IF(N42=10,0,$O$188)*IF(Main!$Q$23,1,0)*IF($A42&lt;Main!$S$28,1,0)</f>
        <v>0</v>
      </c>
      <c r="R42">
        <f>IF($A42&gt;Main!Q$29,ABS(S42-$E42),10)</f>
        <v>10</v>
      </c>
      <c r="S42">
        <f>1/SQRT((1-Calculation!$D$21/Calculation!$D$19*((1/'Frequency Data'!$A42)^2-1))^2+(Calculation!$D$3*'Frequency Data'!$A42*Calculation!$D$21/Calculation!$H$11*(1-(1/'Frequency Data'!$A42)^2))^2)*IF(Main!$Q$24,1,0)</f>
        <v>0.7189356721586877</v>
      </c>
      <c r="T42">
        <f>IF(R42=10,0,$O$188)*IF(Main!$Q$23,1,0)*IF($A42&lt;Main!$S$29,1,0)</f>
        <v>0</v>
      </c>
    </row>
    <row r="43" spans="1:20" x14ac:dyDescent="0.3">
      <c r="A43">
        <v>0.51</v>
      </c>
      <c r="B43" s="48">
        <f>Main!$B$18</f>
        <v>1.171664943123061</v>
      </c>
      <c r="C43">
        <f>1/SQRT((1-Calculation!$B$21/Calculation!$B$19*((1/'Frequency Data'!$A43)^2-1))^2+(Calculation!$B$3*'Frequency Data'!$A43*Calculation!$B$21/Calculation!$B$11*(1-(1/'Frequency Data'!$A43)^2))^2)</f>
        <v>1.1557027826651531</v>
      </c>
      <c r="D43">
        <f>1/SQRT((1-Calculation!$D$21/Calculation!$D$19*((1/'Frequency Data'!$A43)^2-1))^2+(Calculation!$D$3*'Frequency Data'!$A43*Calculation!$D$21/Calculation!$D$11*(1-(1/'Frequency Data'!$A43)^2))^2)</f>
        <v>1.1885105978785839</v>
      </c>
      <c r="E43" s="48">
        <f>Main!$B$19</f>
        <v>0.94069505396750086</v>
      </c>
      <c r="F43" s="48"/>
      <c r="G43" s="63">
        <f>IF(A43&lt;Main!$K$23,0,Main!$B$18)*IF(A43&lt;Main!$L$23,1,0)</f>
        <v>1.171664943123061</v>
      </c>
      <c r="H43" s="63">
        <f>IF(A43&lt;Main!$K$24,0,Main!$B$18)*IF(A43&lt;Main!$L$24,1,0)</f>
        <v>0</v>
      </c>
      <c r="J43">
        <f>IF(A43&gt;Main!$K$23,ABS(C43-$E43),10)</f>
        <v>0.21500772869765228</v>
      </c>
      <c r="L43">
        <f>IF(A43&gt;Main!$K$23,ABS(D43-E43),10)</f>
        <v>0.24781554391108307</v>
      </c>
      <c r="N43">
        <f>IF($A43&gt;Main!Q$28,ABS(O43-$E43),10)</f>
        <v>10</v>
      </c>
      <c r="O43">
        <f>1/SQRT((1-Calculation!$D$21/Calculation!$D$19*((1/'Frequency Data'!$A43)^2-1))^2+(Calculation!$D$3*'Frequency Data'!$A43*Calculation!$D$21/Calculation!$G$11*(1-(1/'Frequency Data'!$A43)^2))^2)*IF(Main!$Q$23,1,0)</f>
        <v>1.108993255505925</v>
      </c>
      <c r="P43">
        <f>IF(N43=10,0,$O$188)*IF(Main!$Q$23,1,0)*IF($A43&lt;Main!$S$28,1,0)</f>
        <v>0</v>
      </c>
      <c r="R43">
        <f>IF($A43&gt;Main!Q$29,ABS(S43-$E43),10)</f>
        <v>10</v>
      </c>
      <c r="S43">
        <f>1/SQRT((1-Calculation!$D$21/Calculation!$D$19*((1/'Frequency Data'!$A43)^2-1))^2+(Calculation!$D$3*'Frequency Data'!$A43*Calculation!$D$21/Calculation!$H$11*(1-(1/'Frequency Data'!$A43)^2))^2)*IF(Main!$Q$24,1,0)</f>
        <v>0.73566621453350611</v>
      </c>
      <c r="T43">
        <f>IF(R43=10,0,$O$188)*IF(Main!$Q$23,1,0)*IF($A43&lt;Main!$S$29,1,0)</f>
        <v>0</v>
      </c>
    </row>
    <row r="44" spans="1:20" x14ac:dyDescent="0.3">
      <c r="A44">
        <v>0.52</v>
      </c>
      <c r="B44" s="48">
        <f>Main!$B$18</f>
        <v>1.171664943123061</v>
      </c>
      <c r="C44">
        <f>1/SQRT((1-Calculation!$B$21/Calculation!$B$19*((1/'Frequency Data'!$A44)^2-1))^2+(Calculation!$B$3*'Frequency Data'!$A44*Calculation!$B$21/Calculation!$B$11*(1-(1/'Frequency Data'!$A44)^2))^2)</f>
        <v>1.1496003919869899</v>
      </c>
      <c r="D44">
        <f>1/SQRT((1-Calculation!$D$21/Calculation!$D$19*((1/'Frequency Data'!$A44)^2-1))^2+(Calculation!$D$3*'Frequency Data'!$A44*Calculation!$D$21/Calculation!$D$11*(1-(1/'Frequency Data'!$A44)^2))^2)</f>
        <v>1.1936404644751171</v>
      </c>
      <c r="E44" s="48">
        <f>Main!$B$19</f>
        <v>0.94069505396750086</v>
      </c>
      <c r="F44" s="48"/>
      <c r="G44" s="63">
        <f>IF(A44&lt;Main!$K$23,0,Main!$B$18)*IF(A44&lt;Main!$L$23,1,0)</f>
        <v>1.171664943123061</v>
      </c>
      <c r="H44" s="63">
        <f>IF(A44&lt;Main!$K$24,0,Main!$B$18)*IF(A44&lt;Main!$L$24,1,0)</f>
        <v>0</v>
      </c>
      <c r="J44">
        <f>IF(A44&gt;Main!$K$23,ABS(C44-$E44),10)</f>
        <v>0.20890533801948907</v>
      </c>
      <c r="L44">
        <f>IF(A44&gt;Main!$K$23,ABS(D44-E44),10)</f>
        <v>0.25294541050761621</v>
      </c>
      <c r="N44">
        <f>IF($A44&gt;Main!Q$28,ABS(O44-$E44),10)</f>
        <v>10</v>
      </c>
      <c r="O44">
        <f>1/SQRT((1-Calculation!$D$21/Calculation!$D$19*((1/'Frequency Data'!$A44)^2-1))^2+(Calculation!$D$3*'Frequency Data'!$A44*Calculation!$D$21/Calculation!$G$11*(1-(1/'Frequency Data'!$A44)^2))^2)*IF(Main!$Q$23,1,0)</f>
        <v>1.1178786544371093</v>
      </c>
      <c r="P44">
        <f>IF(N44=10,0,$O$188)*IF(Main!$Q$23,1,0)*IF($A44&lt;Main!$S$28,1,0)</f>
        <v>0</v>
      </c>
      <c r="R44">
        <f>IF($A44&gt;Main!Q$29,ABS(S44-$E44),10)</f>
        <v>10</v>
      </c>
      <c r="S44">
        <f>1/SQRT((1-Calculation!$D$21/Calculation!$D$19*((1/'Frequency Data'!$A44)^2-1))^2+(Calculation!$D$3*'Frequency Data'!$A44*Calculation!$D$21/Calculation!$H$11*(1-(1/'Frequency Data'!$A44)^2))^2)*IF(Main!$Q$24,1,0)</f>
        <v>0.75208626546913293</v>
      </c>
      <c r="T44">
        <f>IF(R44=10,0,$O$188)*IF(Main!$Q$23,1,0)*IF($A44&lt;Main!$S$29,1,0)</f>
        <v>0</v>
      </c>
    </row>
    <row r="45" spans="1:20" x14ac:dyDescent="0.3">
      <c r="A45">
        <v>0.53</v>
      </c>
      <c r="B45" s="48">
        <f>Main!$B$18</f>
        <v>1.171664943123061</v>
      </c>
      <c r="C45">
        <f>1/SQRT((1-Calculation!$B$21/Calculation!$B$19*((1/'Frequency Data'!$A45)^2-1))^2+(Calculation!$B$3*'Frequency Data'!$A45*Calculation!$B$21/Calculation!$B$11*(1-(1/'Frequency Data'!$A45)^2))^2)</f>
        <v>1.1436762465802073</v>
      </c>
      <c r="D45">
        <f>1/SQRT((1-Calculation!$D$21/Calculation!$D$19*((1/'Frequency Data'!$A45)^2-1))^2+(Calculation!$D$3*'Frequency Data'!$A45*Calculation!$D$21/Calculation!$D$11*(1-(1/'Frequency Data'!$A45)^2))^2)</f>
        <v>1.1971445493877741</v>
      </c>
      <c r="E45" s="48">
        <f>Main!$B$19</f>
        <v>0.94069505396750086</v>
      </c>
      <c r="F45" s="48"/>
      <c r="G45" s="63">
        <f>IF(A45&lt;Main!$K$23,0,Main!$B$18)*IF(A45&lt;Main!$L$23,1,0)</f>
        <v>1.171664943123061</v>
      </c>
      <c r="H45" s="63">
        <f>IF(A45&lt;Main!$K$24,0,Main!$B$18)*IF(A45&lt;Main!$L$24,1,0)</f>
        <v>0</v>
      </c>
      <c r="J45">
        <f>IF(A45&gt;Main!$K$23,ABS(C45-$E45),10)</f>
        <v>0.20298119261270642</v>
      </c>
      <c r="L45">
        <f>IF(A45&gt;Main!$K$23,ABS(D45-E45),10)</f>
        <v>0.25644949542027329</v>
      </c>
      <c r="N45">
        <f>IF($A45&gt;Main!Q$28,ABS(O45-$E45),10)</f>
        <v>10</v>
      </c>
      <c r="O45">
        <f>1/SQRT((1-Calculation!$D$21/Calculation!$D$19*((1/'Frequency Data'!$A45)^2-1))^2+(Calculation!$D$3*'Frequency Data'!$A45*Calculation!$D$21/Calculation!$G$11*(1-(1/'Frequency Data'!$A45)^2))^2)*IF(Main!$Q$23,1,0)</f>
        <v>1.1252749639359085</v>
      </c>
      <c r="P45">
        <f>IF(N45=10,0,$O$188)*IF(Main!$Q$23,1,0)*IF($A45&lt;Main!$S$28,1,0)</f>
        <v>0</v>
      </c>
      <c r="R45">
        <f>IF($A45&gt;Main!Q$29,ABS(S45-$E45),10)</f>
        <v>10</v>
      </c>
      <c r="S45">
        <f>1/SQRT((1-Calculation!$D$21/Calculation!$D$19*((1/'Frequency Data'!$A45)^2-1))^2+(Calculation!$D$3*'Frequency Data'!$A45*Calculation!$D$21/Calculation!$H$11*(1-(1/'Frequency Data'!$A45)^2))^2)*IF(Main!$Q$24,1,0)</f>
        <v>0.76817435374834209</v>
      </c>
      <c r="T45">
        <f>IF(R45=10,0,$O$188)*IF(Main!$Q$23,1,0)*IF($A45&lt;Main!$S$29,1,0)</f>
        <v>0</v>
      </c>
    </row>
    <row r="46" spans="1:20" x14ac:dyDescent="0.3">
      <c r="A46">
        <v>0.54</v>
      </c>
      <c r="B46" s="48">
        <f>Main!$B$18</f>
        <v>1.171664943123061</v>
      </c>
      <c r="C46">
        <f>1/SQRT((1-Calculation!$B$21/Calculation!$B$19*((1/'Frequency Data'!$A46)^2-1))^2+(Calculation!$B$3*'Frequency Data'!$A46*Calculation!$B$21/Calculation!$B$11*(1-(1/'Frequency Data'!$A46)^2))^2)</f>
        <v>1.1379353152885645</v>
      </c>
      <c r="D46">
        <f>1/SQRT((1-Calculation!$D$21/Calculation!$D$19*((1/'Frequency Data'!$A46)^2-1))^2+(Calculation!$D$3*'Frequency Data'!$A46*Calculation!$D$21/Calculation!$D$11*(1-(1/'Frequency Data'!$A46)^2))^2)</f>
        <v>1.1992116625067226</v>
      </c>
      <c r="E46" s="48">
        <f>Main!$B$19</f>
        <v>0.94069505396750086</v>
      </c>
      <c r="F46" s="48"/>
      <c r="G46" s="63">
        <f>IF(A46&lt;Main!$K$23,0,Main!$B$18)*IF(A46&lt;Main!$L$23,1,0)</f>
        <v>1.171664943123061</v>
      </c>
      <c r="H46" s="63">
        <f>IF(A46&lt;Main!$K$24,0,Main!$B$18)*IF(A46&lt;Main!$L$24,1,0)</f>
        <v>0</v>
      </c>
      <c r="J46">
        <f>IF(A46&gt;Main!$K$23,ABS(C46-$E46),10)</f>
        <v>0.19724026132106365</v>
      </c>
      <c r="L46">
        <f>IF(A46&gt;Main!$K$23,ABS(D46-E46),10)</f>
        <v>0.25851660853922176</v>
      </c>
      <c r="N46">
        <f>IF($A46&gt;Main!Q$28,ABS(O46-$E46),10)</f>
        <v>10</v>
      </c>
      <c r="O46">
        <f>1/SQRT((1-Calculation!$D$21/Calculation!$D$19*((1/'Frequency Data'!$A46)^2-1))^2+(Calculation!$D$3*'Frequency Data'!$A46*Calculation!$D$21/Calculation!$G$11*(1-(1/'Frequency Data'!$A46)^2))^2)*IF(Main!$Q$23,1,0)</f>
        <v>1.1313043460755214</v>
      </c>
      <c r="P46">
        <f>IF(N46=10,0,$O$188)*IF(Main!$Q$23,1,0)*IF($A46&lt;Main!$S$28,1,0)</f>
        <v>0</v>
      </c>
      <c r="R46">
        <f>IF($A46&gt;Main!Q$29,ABS(S46-$E46),10)</f>
        <v>10</v>
      </c>
      <c r="S46">
        <f>1/SQRT((1-Calculation!$D$21/Calculation!$D$19*((1/'Frequency Data'!$A46)^2-1))^2+(Calculation!$D$3*'Frequency Data'!$A46*Calculation!$D$21/Calculation!$H$11*(1-(1/'Frequency Data'!$A46)^2))^2)*IF(Main!$Q$24,1,0)</f>
        <v>0.78390939384600056</v>
      </c>
      <c r="T46">
        <f>IF(R46=10,0,$O$188)*IF(Main!$Q$23,1,0)*IF($A46&lt;Main!$S$29,1,0)</f>
        <v>0</v>
      </c>
    </row>
    <row r="47" spans="1:20" x14ac:dyDescent="0.3">
      <c r="A47">
        <v>0.55000000000000004</v>
      </c>
      <c r="B47" s="48">
        <f>Main!$B$18</f>
        <v>1.171664943123061</v>
      </c>
      <c r="C47">
        <f>1/SQRT((1-Calculation!$B$21/Calculation!$B$19*((1/'Frequency Data'!$A47)^2-1))^2+(Calculation!$B$3*'Frequency Data'!$A47*Calculation!$B$21/Calculation!$B$11*(1-(1/'Frequency Data'!$A47)^2))^2)</f>
        <v>1.1323793752592961</v>
      </c>
      <c r="D47">
        <f>1/SQRT((1-Calculation!$D$21/Calculation!$D$19*((1/'Frequency Data'!$A47)^2-1))^2+(Calculation!$D$3*'Frequency Data'!$A47*Calculation!$D$21/Calculation!$D$11*(1-(1/'Frequency Data'!$A47)^2))^2)</f>
        <v>1.2000196351829018</v>
      </c>
      <c r="E47" s="48">
        <f>Main!$B$19</f>
        <v>0.94069505396750086</v>
      </c>
      <c r="F47" s="48"/>
      <c r="G47" s="63">
        <f>IF(A47&lt;Main!$K$23,0,Main!$B$18)*IF(A47&lt;Main!$L$23,1,0)</f>
        <v>1.171664943123061</v>
      </c>
      <c r="H47" s="63">
        <f>IF(A47&lt;Main!$K$24,0,Main!$B$18)*IF(A47&lt;Main!$L$24,1,0)</f>
        <v>0</v>
      </c>
      <c r="J47">
        <f>IF(A47&gt;Main!$K$23,ABS(C47-$E47),10)</f>
        <v>0.19168432129179525</v>
      </c>
      <c r="L47">
        <f>IF(A47&gt;Main!$K$23,ABS(D47-E47),10)</f>
        <v>0.25932458121540092</v>
      </c>
      <c r="N47">
        <f>IF($A47&gt;Main!Q$28,ABS(O47-$E47),10)</f>
        <v>10</v>
      </c>
      <c r="O47">
        <f>1/SQRT((1-Calculation!$D$21/Calculation!$D$19*((1/'Frequency Data'!$A47)^2-1))^2+(Calculation!$D$3*'Frequency Data'!$A47*Calculation!$D$21/Calculation!$G$11*(1-(1/'Frequency Data'!$A47)^2))^2)*IF(Main!$Q$23,1,0)</f>
        <v>1.1360875240476929</v>
      </c>
      <c r="P47">
        <f>IF(N47=10,0,$O$188)*IF(Main!$Q$23,1,0)*IF($A47&lt;Main!$S$28,1,0)</f>
        <v>0</v>
      </c>
      <c r="R47">
        <f>IF($A47&gt;Main!Q$29,ABS(S47-$E47),10)</f>
        <v>10</v>
      </c>
      <c r="S47">
        <f>1/SQRT((1-Calculation!$D$21/Calculation!$D$19*((1/'Frequency Data'!$A47)^2-1))^2+(Calculation!$D$3*'Frequency Data'!$A47*Calculation!$D$21/Calculation!$H$11*(1-(1/'Frequency Data'!$A47)^2))^2)*IF(Main!$Q$24,1,0)</f>
        <v>0.7992707969646583</v>
      </c>
      <c r="T47">
        <f>IF(R47=10,0,$O$188)*IF(Main!$Q$23,1,0)*IF($A47&lt;Main!$S$29,1,0)</f>
        <v>0</v>
      </c>
    </row>
    <row r="48" spans="1:20" x14ac:dyDescent="0.3">
      <c r="A48">
        <v>0.56000000000000005</v>
      </c>
      <c r="B48" s="48">
        <f>Main!$B$18</f>
        <v>1.171664943123061</v>
      </c>
      <c r="C48">
        <f>1/SQRT((1-Calculation!$B$21/Calculation!$B$19*((1/'Frequency Data'!$A48)^2-1))^2+(Calculation!$B$3*'Frequency Data'!$A48*Calculation!$B$21/Calculation!$B$11*(1-(1/'Frequency Data'!$A48)^2))^2)</f>
        <v>1.1270077827813925</v>
      </c>
      <c r="D48">
        <f>1/SQRT((1-Calculation!$D$21/Calculation!$D$19*((1/'Frequency Data'!$A48)^2-1))^2+(Calculation!$D$3*'Frequency Data'!$A48*Calculation!$D$21/Calculation!$D$11*(1-(1/'Frequency Data'!$A48)^2))^2)</f>
        <v>1.1997332516040351</v>
      </c>
      <c r="E48" s="48">
        <f>Main!$B$19</f>
        <v>0.94069505396750086</v>
      </c>
      <c r="F48" s="48"/>
      <c r="G48" s="63">
        <f>IF(A48&lt;Main!$K$23,0,Main!$B$18)*IF(A48&lt;Main!$L$23,1,0)</f>
        <v>1.171664943123061</v>
      </c>
      <c r="H48" s="63">
        <f>IF(A48&lt;Main!$K$24,0,Main!$B$18)*IF(A48&lt;Main!$L$24,1,0)</f>
        <v>0</v>
      </c>
      <c r="J48">
        <f>IF(A48&gt;Main!$K$23,ABS(C48-$E48),10)</f>
        <v>0.1863127288138916</v>
      </c>
      <c r="L48">
        <f>IF(A48&gt;Main!$K$23,ABS(D48-E48),10)</f>
        <v>0.25903819763653424</v>
      </c>
      <c r="N48">
        <f>IF($A48&gt;Main!Q$28,ABS(O48-$E48),10)</f>
        <v>10</v>
      </c>
      <c r="O48">
        <f>1/SQRT((1-Calculation!$D$21/Calculation!$D$19*((1/'Frequency Data'!$A48)^2-1))^2+(Calculation!$D$3*'Frequency Data'!$A48*Calculation!$D$21/Calculation!$G$11*(1-(1/'Frequency Data'!$A48)^2))^2)*IF(Main!$Q$23,1,0)</f>
        <v>1.1397416046707467</v>
      </c>
      <c r="P48">
        <f>IF(N48=10,0,$O$188)*IF(Main!$Q$23,1,0)*IF($A48&lt;Main!$S$28,1,0)</f>
        <v>0</v>
      </c>
      <c r="R48">
        <f>IF($A48&gt;Main!Q$29,ABS(S48-$E48),10)</f>
        <v>10</v>
      </c>
      <c r="S48">
        <f>1/SQRT((1-Calculation!$D$21/Calculation!$D$19*((1/'Frequency Data'!$A48)^2-1))^2+(Calculation!$D$3*'Frequency Data'!$A48*Calculation!$D$21/Calculation!$H$11*(1-(1/'Frequency Data'!$A48)^2))^2)*IF(Main!$Q$24,1,0)</f>
        <v>0.814238586243197</v>
      </c>
      <c r="T48">
        <f>IF(R48=10,0,$O$188)*IF(Main!$Q$23,1,0)*IF($A48&lt;Main!$S$29,1,0)</f>
        <v>0</v>
      </c>
    </row>
    <row r="49" spans="1:20" x14ac:dyDescent="0.3">
      <c r="A49">
        <v>0.56999999999999995</v>
      </c>
      <c r="B49" s="48">
        <f>Main!$B$18</f>
        <v>1.171664943123061</v>
      </c>
      <c r="C49">
        <f>1/SQRT((1-Calculation!$B$21/Calculation!$B$19*((1/'Frequency Data'!$A49)^2-1))^2+(Calculation!$B$3*'Frequency Data'!$A49*Calculation!$B$21/Calculation!$B$11*(1-(1/'Frequency Data'!$A49)^2))^2)</f>
        <v>1.1218180800984943</v>
      </c>
      <c r="D49">
        <f>1/SQRT((1-Calculation!$D$21/Calculation!$D$19*((1/'Frequency Data'!$A49)^2-1))^2+(Calculation!$D$3*'Frequency Data'!$A49*Calculation!$D$21/Calculation!$D$11*(1-(1/'Frequency Data'!$A49)^2))^2)</f>
        <v>1.1985031440984477</v>
      </c>
      <c r="E49" s="48">
        <f>Main!$B$19</f>
        <v>0.94069505396750086</v>
      </c>
      <c r="F49" s="48"/>
      <c r="G49" s="63">
        <f>IF(A49&lt;Main!$K$23,0,Main!$B$18)*IF(A49&lt;Main!$L$23,1,0)</f>
        <v>1.171664943123061</v>
      </c>
      <c r="H49" s="63">
        <f>IF(A49&lt;Main!$K$24,0,Main!$B$18)*IF(A49&lt;Main!$L$24,1,0)</f>
        <v>0</v>
      </c>
      <c r="J49">
        <f>IF(A49&gt;Main!$K$23,ABS(C49-$E49),10)</f>
        <v>0.1811230261309934</v>
      </c>
      <c r="L49">
        <f>IF(A49&gt;Main!$K$23,ABS(D49-E49),10)</f>
        <v>0.25780809013094685</v>
      </c>
      <c r="N49">
        <f>IF($A49&gt;Main!Q$28,ABS(O49-$E49),10)</f>
        <v>10</v>
      </c>
      <c r="O49">
        <f>1/SQRT((1-Calculation!$D$21/Calculation!$D$19*((1/'Frequency Data'!$A49)^2-1))^2+(Calculation!$D$3*'Frequency Data'!$A49*Calculation!$D$21/Calculation!$G$11*(1-(1/'Frequency Data'!$A49)^2))^2)*IF(Main!$Q$23,1,0)</f>
        <v>1.1423784613717318</v>
      </c>
      <c r="P49">
        <f>IF(N49=10,0,$O$188)*IF(Main!$Q$23,1,0)*IF($A49&lt;Main!$S$28,1,0)</f>
        <v>0</v>
      </c>
      <c r="R49">
        <f>IF($A49&gt;Main!Q$29,ABS(S49-$E49),10)</f>
        <v>10</v>
      </c>
      <c r="S49">
        <f>1/SQRT((1-Calculation!$D$21/Calculation!$D$19*((1/'Frequency Data'!$A49)^2-1))^2+(Calculation!$D$3*'Frequency Data'!$A49*Calculation!$D$21/Calculation!$H$11*(1-(1/'Frequency Data'!$A49)^2))^2)*IF(Main!$Q$24,1,0)</f>
        <v>0.82879351433102877</v>
      </c>
      <c r="T49">
        <f>IF(R49=10,0,$O$188)*IF(Main!$Q$23,1,0)*IF($A49&lt;Main!$S$29,1,0)</f>
        <v>0</v>
      </c>
    </row>
    <row r="50" spans="1:20" x14ac:dyDescent="0.3">
      <c r="A50">
        <v>0.57999999999999996</v>
      </c>
      <c r="B50" s="48">
        <f>Main!$B$18</f>
        <v>1.171664943123061</v>
      </c>
      <c r="C50">
        <f>1/SQRT((1-Calculation!$B$21/Calculation!$B$19*((1/'Frequency Data'!$A50)^2-1))^2+(Calculation!$B$3*'Frequency Data'!$A50*Calculation!$B$21/Calculation!$B$11*(1-(1/'Frequency Data'!$A50)^2))^2)</f>
        <v>1.1168064719728694</v>
      </c>
      <c r="D50">
        <f>1/SQRT((1-Calculation!$D$21/Calculation!$D$19*((1/'Frequency Data'!$A50)^2-1))^2+(Calculation!$D$3*'Frequency Data'!$A50*Calculation!$D$21/Calculation!$D$11*(1-(1/'Frequency Data'!$A50)^2))^2)</f>
        <v>1.1964654401085941</v>
      </c>
      <c r="E50" s="48">
        <f>Main!$B$19</f>
        <v>0.94069505396750086</v>
      </c>
      <c r="F50" s="48"/>
      <c r="G50" s="63">
        <f>IF(A50&lt;Main!$K$23,0,Main!$B$18)*IF(A50&lt;Main!$L$23,1,0)</f>
        <v>1.171664943123061</v>
      </c>
      <c r="H50" s="63">
        <f>IF(A50&lt;Main!$K$24,0,Main!$B$18)*IF(A50&lt;Main!$L$24,1,0)</f>
        <v>0</v>
      </c>
      <c r="J50">
        <f>IF(A50&gt;Main!$K$23,ABS(C50-$E50),10)</f>
        <v>0.17611141800536856</v>
      </c>
      <c r="L50">
        <f>IF(A50&gt;Main!$K$23,ABS(D50-E50),10)</f>
        <v>0.25577038614109326</v>
      </c>
      <c r="N50">
        <f>IF($A50&gt;Main!Q$28,ABS(O50-$E50),10)</f>
        <v>10</v>
      </c>
      <c r="O50">
        <f>1/SQRT((1-Calculation!$D$21/Calculation!$D$19*((1/'Frequency Data'!$A50)^2-1))^2+(Calculation!$D$3*'Frequency Data'!$A50*Calculation!$D$21/Calculation!$G$11*(1-(1/'Frequency Data'!$A50)^2))^2)*IF(Main!$Q$23,1,0)</f>
        <v>1.1441036103619704</v>
      </c>
      <c r="P50">
        <f>IF(N50=10,0,$O$188)*IF(Main!$Q$23,1,0)*IF($A50&lt;Main!$S$28,1,0)</f>
        <v>0</v>
      </c>
      <c r="R50">
        <f>IF($A50&gt;Main!Q$29,ABS(S50-$E50),10)</f>
        <v>10</v>
      </c>
      <c r="S50">
        <f>1/SQRT((1-Calculation!$D$21/Calculation!$D$19*((1/'Frequency Data'!$A50)^2-1))^2+(Calculation!$D$3*'Frequency Data'!$A50*Calculation!$D$21/Calculation!$H$11*(1-(1/'Frequency Data'!$A50)^2))^2)*IF(Main!$Q$24,1,0)</f>
        <v>0.84291718143105254</v>
      </c>
      <c r="T50">
        <f>IF(R50=10,0,$O$188)*IF(Main!$Q$23,1,0)*IF($A50&lt;Main!$S$29,1,0)</f>
        <v>0</v>
      </c>
    </row>
    <row r="51" spans="1:20" x14ac:dyDescent="0.3">
      <c r="A51">
        <v>0.59</v>
      </c>
      <c r="B51" s="48">
        <f>Main!$B$18</f>
        <v>1.171664943123061</v>
      </c>
      <c r="C51">
        <f>1/SQRT((1-Calculation!$B$21/Calculation!$B$19*((1/'Frequency Data'!$A51)^2-1))^2+(Calculation!$B$3*'Frequency Data'!$A51*Calculation!$B$21/Calculation!$B$11*(1-(1/'Frequency Data'!$A51)^2))^2)</f>
        <v>1.1119681989761925</v>
      </c>
      <c r="D51">
        <f>1/SQRT((1-Calculation!$D$21/Calculation!$D$19*((1/'Frequency Data'!$A51)^2-1))^2+(Calculation!$D$3*'Frequency Data'!$A51*Calculation!$D$21/Calculation!$D$11*(1-(1/'Frequency Data'!$A51)^2))^2)</f>
        <v>1.193741967106116</v>
      </c>
      <c r="E51" s="48">
        <f>Main!$B$19</f>
        <v>0.94069505396750086</v>
      </c>
      <c r="F51" s="48"/>
      <c r="G51" s="63">
        <f>IF(A51&lt;Main!$K$23,0,Main!$B$18)*IF(A51&lt;Main!$L$23,1,0)</f>
        <v>1.171664943123061</v>
      </c>
      <c r="H51" s="63">
        <f>IF(A51&lt;Main!$K$24,0,Main!$B$18)*IF(A51&lt;Main!$L$24,1,0)</f>
        <v>0</v>
      </c>
      <c r="J51">
        <f>IF(A51&gt;Main!$K$23,ABS(C51-$E51),10)</f>
        <v>0.17127314500869162</v>
      </c>
      <c r="L51">
        <f>IF(A51&gt;Main!$K$23,ABS(D51-E51),10)</f>
        <v>0.25304691313861516</v>
      </c>
      <c r="N51">
        <f>IF($A51&gt;Main!Q$28,ABS(O51-$E51),10)</f>
        <v>10</v>
      </c>
      <c r="O51">
        <f>1/SQRT((1-Calculation!$D$21/Calculation!$D$19*((1/'Frequency Data'!$A51)^2-1))^2+(Calculation!$D$3*'Frequency Data'!$A51*Calculation!$D$21/Calculation!$G$11*(1-(1/'Frequency Data'!$A51)^2))^2)*IF(Main!$Q$23,1,0)</f>
        <v>1.1450155043464683</v>
      </c>
      <c r="P51">
        <f>IF(N51=10,0,$O$188)*IF(Main!$Q$23,1,0)*IF($A51&lt;Main!$S$28,1,0)</f>
        <v>0</v>
      </c>
      <c r="R51">
        <f>IF($A51&gt;Main!Q$29,ABS(S51-$E51),10)</f>
        <v>10</v>
      </c>
      <c r="S51">
        <f>1/SQRT((1-Calculation!$D$21/Calculation!$D$19*((1/'Frequency Data'!$A51)^2-1))^2+(Calculation!$D$3*'Frequency Data'!$A51*Calculation!$D$21/Calculation!$H$11*(1-(1/'Frequency Data'!$A51)^2))^2)*IF(Main!$Q$24,1,0)</f>
        <v>0.85659215186079996</v>
      </c>
      <c r="T51">
        <f>IF(R51=10,0,$O$188)*IF(Main!$Q$23,1,0)*IF($A51&lt;Main!$S$29,1,0)</f>
        <v>0</v>
      </c>
    </row>
    <row r="52" spans="1:20" x14ac:dyDescent="0.3">
      <c r="A52">
        <v>0.6</v>
      </c>
      <c r="B52" s="48">
        <f>Main!$B$18</f>
        <v>1.171664943123061</v>
      </c>
      <c r="C52">
        <f>1/SQRT((1-Calculation!$B$21/Calculation!$B$19*((1/'Frequency Data'!$A52)^2-1))^2+(Calculation!$B$3*'Frequency Data'!$A52*Calculation!$B$21/Calculation!$B$11*(1-(1/'Frequency Data'!$A52)^2))^2)</f>
        <v>1.1072978289872912</v>
      </c>
      <c r="D52">
        <f>1/SQRT((1-Calculation!$D$21/Calculation!$D$19*((1/'Frequency Data'!$A52)^2-1))^2+(Calculation!$D$3*'Frequency Data'!$A52*Calculation!$D$21/Calculation!$D$11*(1-(1/'Frequency Data'!$A52)^2))^2)</f>
        <v>1.1904408490597926</v>
      </c>
      <c r="E52" s="48">
        <f>Main!$B$19</f>
        <v>0.94069505396750086</v>
      </c>
      <c r="F52" s="48"/>
      <c r="G52" s="63">
        <f>IF(A52&lt;Main!$K$23,0,Main!$B$18)*IF(A52&lt;Main!$L$23,1,0)</f>
        <v>1.171664943123061</v>
      </c>
      <c r="H52" s="63">
        <f>IF(A52&lt;Main!$K$24,0,Main!$B$18)*IF(A52&lt;Main!$L$24,1,0)</f>
        <v>0</v>
      </c>
      <c r="J52">
        <f>IF(A52&gt;Main!$K$23,ABS(C52-$E52),10)</f>
        <v>0.16660277501979037</v>
      </c>
      <c r="L52">
        <f>IF(A52&gt;Main!$K$23,ABS(D52-E52),10)</f>
        <v>0.24974579509229178</v>
      </c>
      <c r="N52">
        <f>IF($A52&gt;Main!Q$28,ABS(O52-$E52),10)</f>
        <v>10</v>
      </c>
      <c r="O52">
        <f>1/SQRT((1-Calculation!$D$21/Calculation!$D$19*((1/'Frequency Data'!$A52)^2-1))^2+(Calculation!$D$3*'Frequency Data'!$A52*Calculation!$D$21/Calculation!$G$11*(1-(1/'Frequency Data'!$A52)^2))^2)*IF(Main!$Q$23,1,0)</f>
        <v>1.1452051673670391</v>
      </c>
      <c r="P52">
        <f>IF(N52=10,0,$O$188)*IF(Main!$Q$23,1,0)*IF($A52&lt;Main!$S$28,1,0)</f>
        <v>0</v>
      </c>
      <c r="R52">
        <f>IF($A52&gt;Main!Q$29,ABS(S52-$E52),10)</f>
        <v>10</v>
      </c>
      <c r="S52">
        <f>1/SQRT((1-Calculation!$D$21/Calculation!$D$19*((1/'Frequency Data'!$A52)^2-1))^2+(Calculation!$D$3*'Frequency Data'!$A52*Calculation!$D$21/Calculation!$H$11*(1-(1/'Frequency Data'!$A52)^2))^2)*IF(Main!$Q$24,1,0)</f>
        <v>0.86980206716708752</v>
      </c>
      <c r="T52">
        <f>IF(R52=10,0,$O$188)*IF(Main!$Q$23,1,0)*IF($A52&lt;Main!$S$29,1,0)</f>
        <v>0</v>
      </c>
    </row>
    <row r="53" spans="1:20" x14ac:dyDescent="0.3">
      <c r="A53">
        <v>0.61</v>
      </c>
      <c r="B53" s="48">
        <f>Main!$B$18</f>
        <v>1.171664943123061</v>
      </c>
      <c r="C53">
        <f>1/SQRT((1-Calculation!$B$21/Calculation!$B$19*((1/'Frequency Data'!$A53)^2-1))^2+(Calculation!$B$3*'Frequency Data'!$A53*Calculation!$B$21/Calculation!$B$11*(1-(1/'Frequency Data'!$A53)^2))^2)</f>
        <v>1.1027894839665591</v>
      </c>
      <c r="D53">
        <f>1/SQRT((1-Calculation!$D$21/Calculation!$D$19*((1/'Frequency Data'!$A53)^2-1))^2+(Calculation!$D$3*'Frequency Data'!$A53*Calculation!$D$21/Calculation!$D$11*(1-(1/'Frequency Data'!$A53)^2))^2)</f>
        <v>1.1866573583215714</v>
      </c>
      <c r="E53" s="48">
        <f>Main!$B$19</f>
        <v>0.94069505396750086</v>
      </c>
      <c r="F53" s="48"/>
      <c r="G53" s="63">
        <f>IF(A53&lt;Main!$K$23,0,Main!$B$18)*IF(A53&lt;Main!$L$23,1,0)</f>
        <v>1.171664943123061</v>
      </c>
      <c r="H53" s="63">
        <f>IF(A53&lt;Main!$K$24,0,Main!$B$18)*IF(A53&lt;Main!$L$24,1,0)</f>
        <v>0</v>
      </c>
      <c r="J53">
        <f>IF(A53&gt;Main!$K$23,ABS(C53-$E53),10)</f>
        <v>0.16209442999905821</v>
      </c>
      <c r="L53">
        <f>IF(A53&gt;Main!$K$23,ABS(D53-E53),10)</f>
        <v>0.24596230435407052</v>
      </c>
      <c r="N53">
        <f>IF($A53&gt;Main!Q$28,ABS(O53-$E53),10)</f>
        <v>10</v>
      </c>
      <c r="O53">
        <f>1/SQRT((1-Calculation!$D$21/Calculation!$D$19*((1/'Frequency Data'!$A53)^2-1))^2+(Calculation!$D$3*'Frequency Data'!$A53*Calculation!$D$21/Calculation!$G$11*(1-(1/'Frequency Data'!$A53)^2))^2)*IF(Main!$Q$23,1,0)</f>
        <v>1.1447560988025287</v>
      </c>
      <c r="P53">
        <f>IF(N53=10,0,$O$188)*IF(Main!$Q$23,1,0)*IF($A53&lt;Main!$S$28,1,0)</f>
        <v>0</v>
      </c>
      <c r="R53">
        <f>IF($A53&gt;Main!Q$29,ABS(S53-$E53),10)</f>
        <v>10</v>
      </c>
      <c r="S53">
        <f>1/SQRT((1-Calculation!$D$21/Calculation!$D$19*((1/'Frequency Data'!$A53)^2-1))^2+(Calculation!$D$3*'Frequency Data'!$A53*Calculation!$D$21/Calculation!$H$11*(1-(1/'Frequency Data'!$A53)^2))^2)*IF(Main!$Q$24,1,0)</f>
        <v>0.88253175385795157</v>
      </c>
      <c r="T53">
        <f>IF(R53=10,0,$O$188)*IF(Main!$Q$23,1,0)*IF($A53&lt;Main!$S$29,1,0)</f>
        <v>0</v>
      </c>
    </row>
    <row r="54" spans="1:20" x14ac:dyDescent="0.3">
      <c r="A54">
        <v>0.62</v>
      </c>
      <c r="B54" s="48">
        <f>Main!$B$18</f>
        <v>1.171664943123061</v>
      </c>
      <c r="C54">
        <f>1/SQRT((1-Calculation!$B$21/Calculation!$B$19*((1/'Frequency Data'!$A54)^2-1))^2+(Calculation!$B$3*'Frequency Data'!$A54*Calculation!$B$21/Calculation!$B$11*(1-(1/'Frequency Data'!$A54)^2))^2)</f>
        <v>1.0984370155542196</v>
      </c>
      <c r="D54">
        <f>1/SQRT((1-Calculation!$D$21/Calculation!$D$19*((1/'Frequency Data'!$A54)^2-1))^2+(Calculation!$D$3*'Frequency Data'!$A54*Calculation!$D$21/Calculation!$D$11*(1-(1/'Frequency Data'!$A54)^2))^2)</f>
        <v>1.1824749161434116</v>
      </c>
      <c r="E54" s="48">
        <f>Main!$B$19</f>
        <v>0.94069505396750086</v>
      </c>
      <c r="F54" s="48"/>
      <c r="G54" s="63">
        <f>IF(A54&lt;Main!$K$23,0,Main!$B$18)*IF(A54&lt;Main!$L$23,1,0)</f>
        <v>1.171664943123061</v>
      </c>
      <c r="H54" s="63">
        <f>IF(A54&lt;Main!$K$24,0,Main!$B$18)*IF(A54&lt;Main!$L$24,1,0)</f>
        <v>0</v>
      </c>
      <c r="J54">
        <f>IF(A54&gt;Main!$K$23,ABS(C54-$E54),10)</f>
        <v>0.15774196158671872</v>
      </c>
      <c r="L54">
        <f>IF(A54&gt;Main!$K$23,ABS(D54-E54),10)</f>
        <v>0.24177986217591074</v>
      </c>
      <c r="N54">
        <f>IF($A54&gt;Main!Q$28,ABS(O54-$E54),10)</f>
        <v>10</v>
      </c>
      <c r="O54">
        <f>1/SQRT((1-Calculation!$D$21/Calculation!$D$19*((1/'Frequency Data'!$A54)^2-1))^2+(Calculation!$D$3*'Frequency Data'!$A54*Calculation!$D$21/Calculation!$G$11*(1-(1/'Frequency Data'!$A54)^2))^2)*IF(Main!$Q$23,1,0)</f>
        <v>1.1437443820559487</v>
      </c>
      <c r="P54">
        <f>IF(N54=10,0,$O$188)*IF(Main!$Q$23,1,0)*IF($A54&lt;Main!$S$28,1,0)</f>
        <v>0</v>
      </c>
      <c r="R54">
        <f>IF($A54&gt;Main!Q$29,ABS(S54-$E54),10)</f>
        <v>10</v>
      </c>
      <c r="S54">
        <f>1/SQRT((1-Calculation!$D$21/Calculation!$D$19*((1/'Frequency Data'!$A54)^2-1))^2+(Calculation!$D$3*'Frequency Data'!$A54*Calculation!$D$21/Calculation!$H$11*(1-(1/'Frequency Data'!$A54)^2))^2)*IF(Main!$Q$24,1,0)</f>
        <v>0.89476732388818603</v>
      </c>
      <c r="T54">
        <f>IF(R54=10,0,$O$188)*IF(Main!$Q$23,1,0)*IF($A54&lt;Main!$S$29,1,0)</f>
        <v>0</v>
      </c>
    </row>
    <row r="55" spans="1:20" x14ac:dyDescent="0.3">
      <c r="A55">
        <v>0.63</v>
      </c>
      <c r="B55" s="48">
        <f>Main!$B$18</f>
        <v>1.171664943123061</v>
      </c>
      <c r="C55">
        <f>1/SQRT((1-Calculation!$B$21/Calculation!$B$19*((1/'Frequency Data'!$A55)^2-1))^2+(Calculation!$B$3*'Frequency Data'!$A55*Calculation!$B$21/Calculation!$B$11*(1-(1/'Frequency Data'!$A55)^2))^2)</f>
        <v>1.0942341402356641</v>
      </c>
      <c r="D55">
        <f>1/SQRT((1-Calculation!$D$21/Calculation!$D$19*((1/'Frequency Data'!$A55)^2-1))^2+(Calculation!$D$3*'Frequency Data'!$A55*Calculation!$D$21/Calculation!$D$11*(1-(1/'Frequency Data'!$A55)^2))^2)</f>
        <v>1.1779661613168049</v>
      </c>
      <c r="E55" s="48">
        <f>Main!$B$19</f>
        <v>0.94069505396750086</v>
      </c>
      <c r="F55" s="48"/>
      <c r="G55" s="63">
        <f>IF(A55&lt;Main!$K$23,0,Main!$B$18)*IF(A55&lt;Main!$L$23,1,0)</f>
        <v>1.171664943123061</v>
      </c>
      <c r="H55" s="63">
        <f>IF(A55&lt;Main!$K$24,0,Main!$B$18)*IF(A55&lt;Main!$L$24,1,0)</f>
        <v>0</v>
      </c>
      <c r="J55">
        <f>IF(A55&gt;Main!$K$23,ABS(C55-$E55),10)</f>
        <v>0.15353908626816326</v>
      </c>
      <c r="L55">
        <f>IF(A55&gt;Main!$K$23,ABS(D55-E55),10)</f>
        <v>0.23727110734930401</v>
      </c>
      <c r="N55">
        <f>IF($A55&gt;Main!Q$28,ABS(O55-$E55),10)</f>
        <v>10</v>
      </c>
      <c r="O55">
        <f>1/SQRT((1-Calculation!$D$21/Calculation!$D$19*((1/'Frequency Data'!$A55)^2-1))^2+(Calculation!$D$3*'Frequency Data'!$A55*Calculation!$D$21/Calculation!$G$11*(1-(1/'Frequency Data'!$A55)^2))^2)*IF(Main!$Q$23,1,0)</f>
        <v>1.1422389424399755</v>
      </c>
      <c r="P55">
        <f>IF(N55=10,0,$O$188)*IF(Main!$Q$23,1,0)*IF($A55&lt;Main!$S$28,1,0)</f>
        <v>0</v>
      </c>
      <c r="R55">
        <f>IF($A55&gt;Main!Q$29,ABS(S55-$E55),10)</f>
        <v>10</v>
      </c>
      <c r="S55">
        <f>1/SQRT((1-Calculation!$D$21/Calculation!$D$19*((1/'Frequency Data'!$A55)^2-1))^2+(Calculation!$D$3*'Frequency Data'!$A55*Calculation!$D$21/Calculation!$H$11*(1-(1/'Frequency Data'!$A55)^2))^2)*IF(Main!$Q$24,1,0)</f>
        <v>0.9064962661512973</v>
      </c>
      <c r="T55">
        <f>IF(R55=10,0,$O$188)*IF(Main!$Q$23,1,0)*IF($A55&lt;Main!$S$29,1,0)</f>
        <v>0</v>
      </c>
    </row>
    <row r="56" spans="1:20" x14ac:dyDescent="0.3">
      <c r="A56">
        <v>0.64</v>
      </c>
      <c r="B56" s="48">
        <f>Main!$B$18</f>
        <v>1.171664943123061</v>
      </c>
      <c r="C56">
        <f>1/SQRT((1-Calculation!$B$21/Calculation!$B$19*((1/'Frequency Data'!$A56)^2-1))^2+(Calculation!$B$3*'Frequency Data'!$A56*Calculation!$B$21/Calculation!$B$11*(1-(1/'Frequency Data'!$A56)^2))^2)</f>
        <v>1.0901745425900946</v>
      </c>
      <c r="D56">
        <f>1/SQRT((1-Calculation!$D$21/Calculation!$D$19*((1/'Frequency Data'!$A56)^2-1))^2+(Calculation!$D$3*'Frequency Data'!$A56*Calculation!$D$21/Calculation!$D$11*(1-(1/'Frequency Data'!$A56)^2))^2)</f>
        <v>1.1731940286707774</v>
      </c>
      <c r="E56" s="48">
        <f>Main!$B$19</f>
        <v>0.94069505396750086</v>
      </c>
      <c r="F56" s="48"/>
      <c r="G56" s="63">
        <f>IF(A56&lt;Main!$K$23,0,Main!$B$18)*IF(A56&lt;Main!$L$23,1,0)</f>
        <v>1.171664943123061</v>
      </c>
      <c r="H56" s="63">
        <f>IF(A56&lt;Main!$K$24,0,Main!$B$18)*IF(A56&lt;Main!$L$24,1,0)</f>
        <v>0</v>
      </c>
      <c r="J56">
        <f>IF(A56&gt;Main!$K$23,ABS(C56-$E56),10)</f>
        <v>0.14947948862259375</v>
      </c>
      <c r="L56">
        <f>IF(A56&gt;Main!$K$23,ABS(D56-E56),10)</f>
        <v>0.23249897470327652</v>
      </c>
      <c r="N56">
        <f>IF($A56&gt;Main!Q$28,ABS(O56-$E56),10)</f>
        <v>10</v>
      </c>
      <c r="O56">
        <f>1/SQRT((1-Calculation!$D$21/Calculation!$D$19*((1/'Frequency Data'!$A56)^2-1))^2+(Calculation!$D$3*'Frequency Data'!$A56*Calculation!$D$21/Calculation!$G$11*(1-(1/'Frequency Data'!$A56)^2))^2)*IF(Main!$Q$23,1,0)</f>
        <v>1.1403019080814252</v>
      </c>
      <c r="P56">
        <f>IF(N56=10,0,$O$188)*IF(Main!$Q$23,1,0)*IF($A56&lt;Main!$S$28,1,0)</f>
        <v>0</v>
      </c>
      <c r="R56">
        <f>IF($A56&gt;Main!Q$29,ABS(S56-$E56),10)</f>
        <v>10</v>
      </c>
      <c r="S56">
        <f>1/SQRT((1-Calculation!$D$21/Calculation!$D$19*((1/'Frequency Data'!$A56)^2-1))^2+(Calculation!$D$3*'Frequency Data'!$A56*Calculation!$D$21/Calculation!$H$11*(1-(1/'Frequency Data'!$A56)^2))^2)*IF(Main!$Q$24,1,0)</f>
        <v>0.91770752738932482</v>
      </c>
      <c r="T56">
        <f>IF(R56=10,0,$O$188)*IF(Main!$Q$23,1,0)*IF($A56&lt;Main!$S$29,1,0)</f>
        <v>0</v>
      </c>
    </row>
    <row r="57" spans="1:20" x14ac:dyDescent="0.3">
      <c r="A57">
        <v>0.65</v>
      </c>
      <c r="B57" s="48">
        <f>Main!$B$18</f>
        <v>1.171664943123061</v>
      </c>
      <c r="C57">
        <f>1/SQRT((1-Calculation!$B$21/Calculation!$B$19*((1/'Frequency Data'!$A57)^2-1))^2+(Calculation!$B$3*'Frequency Data'!$A57*Calculation!$B$21/Calculation!$B$11*(1-(1/'Frequency Data'!$A57)^2))^2)</f>
        <v>1.0862519533723975</v>
      </c>
      <c r="D57">
        <f>1/SQRT((1-Calculation!$D$21/Calculation!$D$19*((1/'Frequency Data'!$A57)^2-1))^2+(Calculation!$D$3*'Frequency Data'!$A57*Calculation!$D$21/Calculation!$D$11*(1-(1/'Frequency Data'!$A57)^2))^2)</f>
        <v>1.1682127971889409</v>
      </c>
      <c r="E57" s="48">
        <f>Main!$B$19</f>
        <v>0.94069505396750086</v>
      </c>
      <c r="F57" s="48"/>
      <c r="G57" s="63">
        <f>IF(A57&lt;Main!$K$23,0,Main!$B$18)*IF(A57&lt;Main!$L$23,1,0)</f>
        <v>1.171664943123061</v>
      </c>
      <c r="H57" s="63">
        <f>IF(A57&lt;Main!$K$24,0,Main!$B$18)*IF(A57&lt;Main!$L$24,1,0)</f>
        <v>1.171664943123061</v>
      </c>
      <c r="J57">
        <f>IF(A57&gt;Main!$K$23,ABS(C57-$E57),10)</f>
        <v>0.14555689940489669</v>
      </c>
      <c r="L57">
        <f>IF(A57&gt;Main!$K$23,ABS(D57-E57),10)</f>
        <v>0.22751774322144003</v>
      </c>
      <c r="N57">
        <f>IF($A57&gt;Main!Q$28,ABS(O57-$E57),10)</f>
        <v>10</v>
      </c>
      <c r="O57">
        <f>1/SQRT((1-Calculation!$D$21/Calculation!$D$19*((1/'Frequency Data'!$A57)^2-1))^2+(Calculation!$D$3*'Frequency Data'!$A57*Calculation!$D$21/Calculation!$G$11*(1-(1/'Frequency Data'!$A57)^2))^2)*IF(Main!$Q$23,1,0)</f>
        <v>1.1379890365506165</v>
      </c>
      <c r="P57">
        <f>IF(N57=10,0,$O$188)*IF(Main!$Q$23,1,0)*IF($A57&lt;Main!$S$28,1,0)</f>
        <v>0</v>
      </c>
      <c r="R57">
        <f>IF($A57&gt;Main!Q$29,ABS(S57-$E57),10)</f>
        <v>10</v>
      </c>
      <c r="S57">
        <f>1/SQRT((1-Calculation!$D$21/Calculation!$D$19*((1/'Frequency Data'!$A57)^2-1))^2+(Calculation!$D$3*'Frequency Data'!$A57*Calculation!$D$21/Calculation!$H$11*(1-(1/'Frequency Data'!$A57)^2))^2)*IF(Main!$Q$24,1,0)</f>
        <v>0.92839158112930165</v>
      </c>
      <c r="T57">
        <f>IF(R57=10,0,$O$188)*IF(Main!$Q$23,1,0)*IF($A57&lt;Main!$S$29,1,0)</f>
        <v>0</v>
      </c>
    </row>
    <row r="58" spans="1:20" x14ac:dyDescent="0.3">
      <c r="A58">
        <v>0.66</v>
      </c>
      <c r="B58" s="48">
        <f>Main!$B$18</f>
        <v>1.171664943123061</v>
      </c>
      <c r="C58">
        <f>1/SQRT((1-Calculation!$B$21/Calculation!$B$19*((1/'Frequency Data'!$A58)^2-1))^2+(Calculation!$B$3*'Frequency Data'!$A58*Calculation!$B$21/Calculation!$B$11*(1-(1/'Frequency Data'!$A58)^2))^2)</f>
        <v>1.0824602077783594</v>
      </c>
      <c r="D58">
        <f>1/SQRT((1-Calculation!$D$21/Calculation!$D$19*((1/'Frequency Data'!$A58)^2-1))^2+(Calculation!$D$3*'Frequency Data'!$A58*Calculation!$D$21/Calculation!$D$11*(1-(1/'Frequency Data'!$A58)^2))^2)</f>
        <v>1.1630690815874918</v>
      </c>
      <c r="E58" s="48">
        <f>Main!$B$19</f>
        <v>0.94069505396750086</v>
      </c>
      <c r="F58" s="48"/>
      <c r="G58" s="63">
        <f>IF(A58&lt;Main!$K$23,0,Main!$B$18)*IF(A58&lt;Main!$L$23,1,0)</f>
        <v>1.171664943123061</v>
      </c>
      <c r="H58" s="63">
        <f>IF(A58&lt;Main!$K$24,0,Main!$B$18)*IF(A58&lt;Main!$L$24,1,0)</f>
        <v>1.171664943123061</v>
      </c>
      <c r="J58">
        <f>IF(A58&gt;Main!$K$23,ABS(C58-$E58),10)</f>
        <v>0.14176515381085852</v>
      </c>
      <c r="L58">
        <f>IF(A58&gt;Main!$K$23,ABS(D58-E58),10)</f>
        <v>0.22237402761999092</v>
      </c>
      <c r="N58">
        <f>IF($A58&gt;Main!Q$28,ABS(O58-$E58),10)</f>
        <v>10</v>
      </c>
      <c r="O58">
        <f>1/SQRT((1-Calculation!$D$21/Calculation!$D$19*((1/'Frequency Data'!$A58)^2-1))^2+(Calculation!$D$3*'Frequency Data'!$A58*Calculation!$D$21/Calculation!$G$11*(1-(1/'Frequency Data'!$A58)^2))^2)*IF(Main!$Q$23,1,0)</f>
        <v>1.1353501779445583</v>
      </c>
      <c r="P58">
        <f>IF(N58=10,0,$O$188)*IF(Main!$Q$23,1,0)*IF($A58&lt;Main!$S$28,1,0)</f>
        <v>0</v>
      </c>
      <c r="R58">
        <f>IF($A58&gt;Main!Q$29,ABS(S58-$E58),10)</f>
        <v>10</v>
      </c>
      <c r="S58">
        <f>1/SQRT((1-Calculation!$D$21/Calculation!$D$19*((1/'Frequency Data'!$A58)^2-1))^2+(Calculation!$D$3*'Frequency Data'!$A58*Calculation!$D$21/Calculation!$H$11*(1-(1/'Frequency Data'!$A58)^2))^2)*IF(Main!$Q$24,1,0)</f>
        <v>0.93854048348606056</v>
      </c>
      <c r="T58">
        <f>IF(R58=10,0,$O$188)*IF(Main!$Q$23,1,0)*IF($A58&lt;Main!$S$29,1,0)</f>
        <v>0</v>
      </c>
    </row>
    <row r="59" spans="1:20" x14ac:dyDescent="0.3">
      <c r="A59">
        <v>0.67</v>
      </c>
      <c r="B59" s="48">
        <f>Main!$B$18</f>
        <v>1.171664943123061</v>
      </c>
      <c r="C59">
        <f>1/SQRT((1-Calculation!$B$21/Calculation!$B$19*((1/'Frequency Data'!$A59)^2-1))^2+(Calculation!$B$3*'Frequency Data'!$A59*Calculation!$B$21/Calculation!$B$11*(1-(1/'Frequency Data'!$A59)^2))^2)</f>
        <v>1.0787932881342492</v>
      </c>
      <c r="D59">
        <f>1/SQRT((1-Calculation!$D$21/Calculation!$D$19*((1/'Frequency Data'!$A59)^2-1))^2+(Calculation!$D$3*'Frequency Data'!$A59*Calculation!$D$21/Calculation!$D$11*(1-(1/'Frequency Data'!$A59)^2))^2)</f>
        <v>1.1578027518390175</v>
      </c>
      <c r="E59" s="48">
        <f>Main!$B$19</f>
        <v>0.94069505396750086</v>
      </c>
      <c r="F59" s="48"/>
      <c r="G59" s="63">
        <f>IF(A59&lt;Main!$K$23,0,Main!$B$18)*IF(A59&lt;Main!$L$23,1,0)</f>
        <v>1.171664943123061</v>
      </c>
      <c r="H59" s="63">
        <f>IF(A59&lt;Main!$K$24,0,Main!$B$18)*IF(A59&lt;Main!$L$24,1,0)</f>
        <v>1.171664943123061</v>
      </c>
      <c r="J59">
        <f>IF(A59&gt;Main!$K$23,ABS(C59-$E59),10)</f>
        <v>0.13809823416674838</v>
      </c>
      <c r="L59">
        <f>IF(A59&gt;Main!$K$23,ABS(D59-E59),10)</f>
        <v>0.21710769787151663</v>
      </c>
      <c r="N59">
        <f>IF($A59&gt;Main!Q$28,ABS(O59-$E59),10)</f>
        <v>10</v>
      </c>
      <c r="O59">
        <f>1/SQRT((1-Calculation!$D$21/Calculation!$D$19*((1/'Frequency Data'!$A59)^2-1))^2+(Calculation!$D$3*'Frequency Data'!$A59*Calculation!$D$21/Calculation!$G$11*(1-(1/'Frequency Data'!$A59)^2))^2)*IF(Main!$Q$23,1,0)</f>
        <v>1.1324297521050284</v>
      </c>
      <c r="P59">
        <f>IF(N59=10,0,$O$188)*IF(Main!$Q$23,1,0)*IF($A59&lt;Main!$S$28,1,0)</f>
        <v>0</v>
      </c>
      <c r="R59">
        <f>IF($A59&gt;Main!Q$29,ABS(S59-$E59),10)</f>
        <v>10</v>
      </c>
      <c r="S59">
        <f>1/SQRT((1-Calculation!$D$21/Calculation!$D$19*((1/'Frequency Data'!$A59)^2-1))^2+(Calculation!$D$3*'Frequency Data'!$A59*Calculation!$D$21/Calculation!$H$11*(1-(1/'Frequency Data'!$A59)^2))^2)*IF(Main!$Q$24,1,0)</f>
        <v>0.94814791492923789</v>
      </c>
      <c r="T59">
        <f>IF(R59=10,0,$O$188)*IF(Main!$Q$23,1,0)*IF($A59&lt;Main!$S$29,1,0)</f>
        <v>0</v>
      </c>
    </row>
    <row r="60" spans="1:20" x14ac:dyDescent="0.3">
      <c r="A60">
        <v>0.68</v>
      </c>
      <c r="B60" s="48">
        <f>Main!$B$18</f>
        <v>1.171664943123061</v>
      </c>
      <c r="C60">
        <f>1/SQRT((1-Calculation!$B$21/Calculation!$B$19*((1/'Frequency Data'!$A60)^2-1))^2+(Calculation!$B$3*'Frequency Data'!$A60*Calculation!$B$21/Calculation!$B$11*(1-(1/'Frequency Data'!$A60)^2))^2)</f>
        <v>1.0752453543730509</v>
      </c>
      <c r="D60">
        <f>1/SQRT((1-Calculation!$D$21/Calculation!$D$19*((1/'Frequency Data'!$A60)^2-1))^2+(Calculation!$D$3*'Frequency Data'!$A60*Calculation!$D$21/Calculation!$D$11*(1-(1/'Frequency Data'!$A60)^2))^2)</f>
        <v>1.1524477729152869</v>
      </c>
      <c r="E60" s="48">
        <f>Main!$B$19</f>
        <v>0.94069505396750086</v>
      </c>
      <c r="F60" s="48"/>
      <c r="G60" s="63">
        <f>IF(A60&lt;Main!$K$23,0,Main!$B$18)*IF(A60&lt;Main!$L$23,1,0)</f>
        <v>1.171664943123061</v>
      </c>
      <c r="H60" s="63">
        <f>IF(A60&lt;Main!$K$24,0,Main!$B$18)*IF(A60&lt;Main!$L$24,1,0)</f>
        <v>1.171664943123061</v>
      </c>
      <c r="J60">
        <f>IF(A60&gt;Main!$K$23,ABS(C60-$E60),10)</f>
        <v>0.13455030040555005</v>
      </c>
      <c r="L60">
        <f>IF(A60&gt;Main!$K$23,ABS(D60-E60),10)</f>
        <v>0.21175271894778602</v>
      </c>
      <c r="N60">
        <f>IF($A60&gt;Main!Q$28,ABS(O60-$E60),10)</f>
        <v>10</v>
      </c>
      <c r="O60">
        <f>1/SQRT((1-Calculation!$D$21/Calculation!$D$19*((1/'Frequency Data'!$A60)^2-1))^2+(Calculation!$D$3*'Frequency Data'!$A60*Calculation!$D$21/Calculation!$G$11*(1-(1/'Frequency Data'!$A60)^2))^2)*IF(Main!$Q$23,1,0)</f>
        <v>1.1292672234824674</v>
      </c>
      <c r="P60">
        <f>IF(N60=10,0,$O$188)*IF(Main!$Q$23,1,0)*IF($A60&lt;Main!$S$28,1,0)</f>
        <v>0</v>
      </c>
      <c r="R60">
        <f>IF($A60&gt;Main!Q$29,ABS(S60-$E60),10)</f>
        <v>10</v>
      </c>
      <c r="S60">
        <f>1/SQRT((1-Calculation!$D$21/Calculation!$D$19*((1/'Frequency Data'!$A60)^2-1))^2+(Calculation!$D$3*'Frequency Data'!$A60*Calculation!$D$21/Calculation!$H$11*(1-(1/'Frequency Data'!$A60)^2))^2)*IF(Main!$Q$24,1,0)</f>
        <v>0.95720920739015403</v>
      </c>
      <c r="T60">
        <f>IF(R60=10,0,$O$188)*IF(Main!$Q$23,1,0)*IF($A60&lt;Main!$S$29,1,0)</f>
        <v>0</v>
      </c>
    </row>
    <row r="61" spans="1:20" x14ac:dyDescent="0.3">
      <c r="A61">
        <v>0.69</v>
      </c>
      <c r="B61" s="48">
        <f>Main!$B$18</f>
        <v>1.171664943123061</v>
      </c>
      <c r="C61">
        <f>1/SQRT((1-Calculation!$B$21/Calculation!$B$19*((1/'Frequency Data'!$A61)^2-1))^2+(Calculation!$B$3*'Frequency Data'!$A61*Calculation!$B$21/Calculation!$B$11*(1-(1/'Frequency Data'!$A61)^2))^2)</f>
        <v>1.0718107649631257</v>
      </c>
      <c r="D61">
        <f>1/SQRT((1-Calculation!$D$21/Calculation!$D$19*((1/'Frequency Data'!$A61)^2-1))^2+(Calculation!$D$3*'Frequency Data'!$A61*Calculation!$D$21/Calculation!$D$11*(1-(1/'Frequency Data'!$A61)^2))^2)</f>
        <v>1.1470329625282123</v>
      </c>
      <c r="E61" s="48">
        <f>Main!$B$19</f>
        <v>0.94069505396750086</v>
      </c>
      <c r="F61" s="48"/>
      <c r="G61" s="63">
        <f>IF(A61&lt;Main!$K$23,0,Main!$B$18)*IF(A61&lt;Main!$L$23,1,0)</f>
        <v>1.171664943123061</v>
      </c>
      <c r="H61" s="63">
        <f>IF(A61&lt;Main!$K$24,0,Main!$B$18)*IF(A61&lt;Main!$L$24,1,0)</f>
        <v>1.171664943123061</v>
      </c>
      <c r="J61">
        <f>IF(A61&gt;Main!$K$23,ABS(C61-$E61),10)</f>
        <v>0.1311157109956248</v>
      </c>
      <c r="L61">
        <f>IF(A61&gt;Main!$K$23,ABS(D61-E61),10)</f>
        <v>0.20633790856071144</v>
      </c>
      <c r="N61">
        <f>IF($A61&gt;Main!Q$28,ABS(O61-$E61),10)</f>
        <v>0.18520250794441118</v>
      </c>
      <c r="O61">
        <f>1/SQRT((1-Calculation!$D$21/Calculation!$D$19*((1/'Frequency Data'!$A61)^2-1))^2+(Calculation!$D$3*'Frequency Data'!$A61*Calculation!$D$21/Calculation!$G$11*(1-(1/'Frequency Data'!$A61)^2))^2)*IF(Main!$Q$23,1,0)</f>
        <v>1.125897561911912</v>
      </c>
      <c r="P61">
        <f>IF(N61=10,0,$O$188)*IF(Main!$Q$23,1,0)*IF($A61&lt;Main!$S$28,1,0)</f>
        <v>1.1260880286363109</v>
      </c>
      <c r="R61">
        <f>IF($A61&gt;Main!Q$29,ABS(S61-$E61),10)</f>
        <v>10</v>
      </c>
      <c r="S61">
        <f>1/SQRT((1-Calculation!$D$21/Calculation!$D$19*((1/'Frequency Data'!$A61)^2-1))^2+(Calculation!$D$3*'Frequency Data'!$A61*Calculation!$D$21/Calculation!$H$11*(1-(1/'Frequency Data'!$A61)^2))^2)*IF(Main!$Q$24,1,0)</f>
        <v>0.96572135637346523</v>
      </c>
      <c r="T61">
        <f>IF(R61=10,0,$O$188)*IF(Main!$Q$23,1,0)*IF($A61&lt;Main!$S$29,1,0)</f>
        <v>0</v>
      </c>
    </row>
    <row r="62" spans="1:20" x14ac:dyDescent="0.3">
      <c r="A62">
        <v>0.7</v>
      </c>
      <c r="B62" s="48">
        <f>Main!$B$18</f>
        <v>1.171664943123061</v>
      </c>
      <c r="C62">
        <f>1/SQRT((1-Calculation!$B$21/Calculation!$B$19*((1/'Frequency Data'!$A62)^2-1))^2+(Calculation!$B$3*'Frequency Data'!$A62*Calculation!$B$21/Calculation!$B$11*(1-(1/'Frequency Data'!$A62)^2))^2)</f>
        <v>1.0684840904028017</v>
      </c>
      <c r="D62">
        <f>1/SQRT((1-Calculation!$D$21/Calculation!$D$19*((1/'Frequency Data'!$A62)^2-1))^2+(Calculation!$D$3*'Frequency Data'!$A62*Calculation!$D$21/Calculation!$D$11*(1-(1/'Frequency Data'!$A62)^2))^2)</f>
        <v>1.141582668385607</v>
      </c>
      <c r="E62" s="48">
        <f>Main!$B$19</f>
        <v>0.94069505396750086</v>
      </c>
      <c r="F62" s="48"/>
      <c r="G62" s="63">
        <f>IF(A62&lt;Main!$K$23,0,Main!$B$18)*IF(A62&lt;Main!$L$23,1,0)</f>
        <v>1.171664943123061</v>
      </c>
      <c r="H62" s="63">
        <f>IF(A62&lt;Main!$K$24,0,Main!$B$18)*IF(A62&lt;Main!$L$24,1,0)</f>
        <v>1.171664943123061</v>
      </c>
      <c r="J62">
        <f>IF(A62&gt;Main!$K$23,ABS(C62-$E62),10)</f>
        <v>0.12778903643530082</v>
      </c>
      <c r="L62">
        <f>IF(A62&gt;Main!$K$23,ABS(D62-E62),10)</f>
        <v>0.2008876144181061</v>
      </c>
      <c r="N62">
        <f>IF($A62&gt;Main!Q$28,ABS(O62-$E62),10)</f>
        <v>0.18165662738401556</v>
      </c>
      <c r="O62">
        <f>1/SQRT((1-Calculation!$D$21/Calculation!$D$19*((1/'Frequency Data'!$A62)^2-1))^2+(Calculation!$D$3*'Frequency Data'!$A62*Calculation!$D$21/Calculation!$G$11*(1-(1/'Frequency Data'!$A62)^2))^2)*IF(Main!$Q$23,1,0)</f>
        <v>1.1223516813515164</v>
      </c>
      <c r="P62">
        <f>IF(N62=10,0,$O$188)*IF(Main!$Q$23,1,0)*IF($A62&lt;Main!$S$28,1,0)</f>
        <v>1.1260880286363109</v>
      </c>
      <c r="R62">
        <f>IF($A62&gt;Main!Q$29,ABS(S62-$E62),10)</f>
        <v>10</v>
      </c>
      <c r="S62">
        <f>1/SQRT((1-Calculation!$D$21/Calculation!$D$19*((1/'Frequency Data'!$A62)^2-1))^2+(Calculation!$D$3*'Frequency Data'!$A62*Calculation!$D$21/Calculation!$H$11*(1-(1/'Frequency Data'!$A62)^2))^2)*IF(Main!$Q$24,1,0)</f>
        <v>0.97368301803042434</v>
      </c>
      <c r="T62">
        <f>IF(R62=10,0,$O$188)*IF(Main!$Q$23,1,0)*IF($A62&lt;Main!$S$29,1,0)</f>
        <v>0</v>
      </c>
    </row>
    <row r="63" spans="1:20" x14ac:dyDescent="0.3">
      <c r="A63">
        <v>0.71</v>
      </c>
      <c r="B63" s="48">
        <f>Main!$B$18</f>
        <v>1.171664943123061</v>
      </c>
      <c r="C63">
        <f>1/SQRT((1-Calculation!$B$21/Calculation!$B$19*((1/'Frequency Data'!$A63)^2-1))^2+(Calculation!$B$3*'Frequency Data'!$A63*Calculation!$B$21/Calculation!$B$11*(1-(1/'Frequency Data'!$A63)^2))^2)</f>
        <v>1.0652601209561643</v>
      </c>
      <c r="D63">
        <f>1/SQRT((1-Calculation!$D$21/Calculation!$D$19*((1/'Frequency Data'!$A63)^2-1))^2+(Calculation!$D$3*'Frequency Data'!$A63*Calculation!$D$21/Calculation!$D$11*(1-(1/'Frequency Data'!$A63)^2))^2)</f>
        <v>1.1361173688826904</v>
      </c>
      <c r="E63" s="48">
        <f>Main!$B$19</f>
        <v>0.94069505396750086</v>
      </c>
      <c r="F63" s="48"/>
      <c r="G63" s="63">
        <f>IF(A63&lt;Main!$K$23,0,Main!$B$18)*IF(A63&lt;Main!$L$23,1,0)</f>
        <v>1.171664943123061</v>
      </c>
      <c r="H63" s="63">
        <f>IF(A63&lt;Main!$K$24,0,Main!$B$18)*IF(A63&lt;Main!$L$24,1,0)</f>
        <v>1.171664943123061</v>
      </c>
      <c r="J63">
        <f>IF(A63&gt;Main!$K$23,ABS(C63-$E63),10)</f>
        <v>0.12456506698866343</v>
      </c>
      <c r="L63">
        <f>IF(A63&gt;Main!$K$23,ABS(D63-E63),10)</f>
        <v>0.19542231491518958</v>
      </c>
      <c r="N63">
        <f>IF($A63&gt;Main!Q$28,ABS(O63-$E63),10)</f>
        <v>0.17796179760919173</v>
      </c>
      <c r="O63">
        <f>1/SQRT((1-Calculation!$D$21/Calculation!$D$19*((1/'Frequency Data'!$A63)^2-1))^2+(Calculation!$D$3*'Frequency Data'!$A63*Calculation!$D$21/Calculation!$G$11*(1-(1/'Frequency Data'!$A63)^2))^2)*IF(Main!$Q$23,1,0)</f>
        <v>1.1186568515766926</v>
      </c>
      <c r="P63">
        <f>IF(N63=10,0,$O$188)*IF(Main!$Q$23,1,0)*IF($A63&lt;Main!$S$28,1,0)</f>
        <v>1.1260880286363109</v>
      </c>
      <c r="R63">
        <f>IF($A63&gt;Main!Q$29,ABS(S63-$E63),10)</f>
        <v>10</v>
      </c>
      <c r="S63">
        <f>1/SQRT((1-Calculation!$D$21/Calculation!$D$19*((1/'Frequency Data'!$A63)^2-1))^2+(Calculation!$D$3*'Frequency Data'!$A63*Calculation!$D$21/Calculation!$H$11*(1-(1/'Frequency Data'!$A63)^2))^2)*IF(Main!$Q$24,1,0)</f>
        <v>0.98109449143658189</v>
      </c>
      <c r="T63">
        <f>IF(R63=10,0,$O$188)*IF(Main!$Q$23,1,0)*IF($A63&lt;Main!$S$29,1,0)</f>
        <v>0</v>
      </c>
    </row>
    <row r="64" spans="1:20" x14ac:dyDescent="0.3">
      <c r="A64">
        <v>0.72</v>
      </c>
      <c r="B64" s="48">
        <f>Main!$B$18</f>
        <v>1.171664943123061</v>
      </c>
      <c r="C64">
        <f>1/SQRT((1-Calculation!$B$21/Calculation!$B$19*((1/'Frequency Data'!$A64)^2-1))^2+(Calculation!$B$3*'Frequency Data'!$A64*Calculation!$B$21/Calculation!$B$11*(1-(1/'Frequency Data'!$A64)^2))^2)</f>
        <v>1.0621338699573915</v>
      </c>
      <c r="D64">
        <f>1/SQRT((1-Calculation!$D$21/Calculation!$D$19*((1/'Frequency Data'!$A64)^2-1))^2+(Calculation!$D$3*'Frequency Data'!$A64*Calculation!$D$21/Calculation!$D$11*(1-(1/'Frequency Data'!$A64)^2))^2)</f>
        <v>1.1306542025758695</v>
      </c>
      <c r="E64" s="48">
        <f>Main!$B$19</f>
        <v>0.94069505396750086</v>
      </c>
      <c r="F64" s="48"/>
      <c r="G64" s="63">
        <f>IF(A64&lt;Main!$K$23,0,Main!$B$18)*IF(A64&lt;Main!$L$23,1,0)</f>
        <v>1.171664943123061</v>
      </c>
      <c r="H64" s="63">
        <f>IF(A64&lt;Main!$K$24,0,Main!$B$18)*IF(A64&lt;Main!$L$24,1,0)</f>
        <v>1.171664943123061</v>
      </c>
      <c r="J64">
        <f>IF(A64&gt;Main!$K$23,ABS(C64-$E64),10)</f>
        <v>0.12143881598989059</v>
      </c>
      <c r="L64">
        <f>IF(A64&gt;Main!$K$23,ABS(D64-E64),10)</f>
        <v>0.1899591486083686</v>
      </c>
      <c r="N64">
        <f>IF($A64&gt;Main!Q$28,ABS(O64-$E64),10)</f>
        <v>0.17414202609074503</v>
      </c>
      <c r="O64">
        <f>1/SQRT((1-Calculation!$D$21/Calculation!$D$19*((1/'Frequency Data'!$A64)^2-1))^2+(Calculation!$D$3*'Frequency Data'!$A64*Calculation!$D$21/Calculation!$G$11*(1-(1/'Frequency Data'!$A64)^2))^2)*IF(Main!$Q$23,1,0)</f>
        <v>1.1148370800582459</v>
      </c>
      <c r="P64">
        <f>IF(N64=10,0,$O$188)*IF(Main!$Q$23,1,0)*IF($A64&lt;Main!$S$28,1,0)</f>
        <v>1.1260880286363109</v>
      </c>
      <c r="R64">
        <f>IF($A64&gt;Main!Q$29,ABS(S64-$E64),10)</f>
        <v>10</v>
      </c>
      <c r="S64">
        <f>1/SQRT((1-Calculation!$D$21/Calculation!$D$19*((1/'Frequency Data'!$A64)^2-1))^2+(Calculation!$D$3*'Frequency Data'!$A64*Calculation!$D$21/Calculation!$H$11*(1-(1/'Frequency Data'!$A64)^2))^2)*IF(Main!$Q$24,1,0)</f>
        <v>0.98795768658856642</v>
      </c>
      <c r="T64">
        <f>IF(R64=10,0,$O$188)*IF(Main!$Q$23,1,0)*IF($A64&lt;Main!$S$29,1,0)</f>
        <v>0</v>
      </c>
    </row>
    <row r="65" spans="1:20" x14ac:dyDescent="0.3">
      <c r="A65">
        <v>0.73</v>
      </c>
      <c r="B65" s="48">
        <f>Main!$B$18</f>
        <v>1.171664943123061</v>
      </c>
      <c r="C65">
        <f>1/SQRT((1-Calculation!$B$21/Calculation!$B$19*((1/'Frequency Data'!$A65)^2-1))^2+(Calculation!$B$3*'Frequency Data'!$A65*Calculation!$B$21/Calculation!$B$11*(1-(1/'Frequency Data'!$A65)^2))^2)</f>
        <v>1.0591005737345631</v>
      </c>
      <c r="D65">
        <f>1/SQRT((1-Calculation!$D$21/Calculation!$D$19*((1/'Frequency Data'!$A65)^2-1))^2+(Calculation!$D$3*'Frequency Data'!$A65*Calculation!$D$21/Calculation!$D$11*(1-(1/'Frequency Data'!$A65)^2))^2)</f>
        <v>1.1252074325114962</v>
      </c>
      <c r="E65" s="48">
        <f>Main!$B$19</f>
        <v>0.94069505396750086</v>
      </c>
      <c r="F65" s="48"/>
      <c r="G65" s="63">
        <f>IF(A65&lt;Main!$K$23,0,Main!$B$18)*IF(A65&lt;Main!$L$23,1,0)</f>
        <v>1.171664943123061</v>
      </c>
      <c r="H65" s="63">
        <f>IF(A65&lt;Main!$K$24,0,Main!$B$18)*IF(A65&lt;Main!$L$24,1,0)</f>
        <v>1.171664943123061</v>
      </c>
      <c r="J65">
        <f>IF(A65&gt;Main!$K$23,ABS(C65-$E65),10)</f>
        <v>0.11840551976706226</v>
      </c>
      <c r="L65">
        <f>IF(A65&gt;Main!$K$23,ABS(D65-E65),10)</f>
        <v>0.18451237854399538</v>
      </c>
      <c r="N65">
        <f>IF($A65&gt;Main!Q$28,ABS(O65-$E65),10)</f>
        <v>0.17021840894199791</v>
      </c>
      <c r="O65">
        <f>1/SQRT((1-Calculation!$D$21/Calculation!$D$19*((1/'Frequency Data'!$A65)^2-1))^2+(Calculation!$D$3*'Frequency Data'!$A65*Calculation!$D$21/Calculation!$G$11*(1-(1/'Frequency Data'!$A65)^2))^2)*IF(Main!$Q$23,1,0)</f>
        <v>1.1109134629094988</v>
      </c>
      <c r="P65">
        <f>IF(N65=10,0,$O$188)*IF(Main!$Q$23,1,0)*IF($A65&lt;Main!$S$28,1,0)</f>
        <v>1.1260880286363109</v>
      </c>
      <c r="R65">
        <f>IF($A65&gt;Main!Q$29,ABS(S65-$E65),10)</f>
        <v>10</v>
      </c>
      <c r="S65">
        <f>1/SQRT((1-Calculation!$D$21/Calculation!$D$19*((1/'Frequency Data'!$A65)^2-1))^2+(Calculation!$D$3*'Frequency Data'!$A65*Calculation!$D$21/Calculation!$H$11*(1-(1/'Frequency Data'!$A65)^2))^2)*IF(Main!$Q$24,1,0)</f>
        <v>0.99427607888466563</v>
      </c>
      <c r="T65">
        <f>IF(R65=10,0,$O$188)*IF(Main!$Q$23,1,0)*IF($A65&lt;Main!$S$29,1,0)</f>
        <v>0</v>
      </c>
    </row>
    <row r="66" spans="1:20" x14ac:dyDescent="0.3">
      <c r="A66">
        <v>0.74</v>
      </c>
      <c r="B66" s="48">
        <f>Main!$B$18</f>
        <v>1.171664943123061</v>
      </c>
      <c r="C66">
        <f>1/SQRT((1-Calculation!$B$21/Calculation!$B$19*((1/'Frequency Data'!$A66)^2-1))^2+(Calculation!$B$3*'Frequency Data'!$A66*Calculation!$B$21/Calculation!$B$11*(1-(1/'Frequency Data'!$A66)^2))^2)</f>
        <v>1.0561556889840957</v>
      </c>
      <c r="D66">
        <f>1/SQRT((1-Calculation!$D$21/Calculation!$D$19*((1/'Frequency Data'!$A66)^2-1))^2+(Calculation!$D$3*'Frequency Data'!$A66*Calculation!$D$21/Calculation!$D$11*(1-(1/'Frequency Data'!$A66)^2))^2)</f>
        <v>1.119788851723474</v>
      </c>
      <c r="E66" s="48">
        <f>Main!$B$19</f>
        <v>0.94069505396750086</v>
      </c>
      <c r="F66" s="48"/>
      <c r="G66" s="63">
        <f>IF(A66&lt;Main!$K$23,0,Main!$B$18)*IF(A66&lt;Main!$L$23,1,0)</f>
        <v>1.171664943123061</v>
      </c>
      <c r="H66" s="63">
        <f>IF(A66&lt;Main!$K$24,0,Main!$B$18)*IF(A66&lt;Main!$L$24,1,0)</f>
        <v>1.171664943123061</v>
      </c>
      <c r="J66">
        <f>IF(A66&gt;Main!$K$23,ABS(C66-$E66),10)</f>
        <v>0.11546063501659487</v>
      </c>
      <c r="L66">
        <f>IF(A66&gt;Main!$K$23,ABS(D66-E66),10)</f>
        <v>0.17909379775597312</v>
      </c>
      <c r="N66">
        <f>IF($A66&gt;Main!Q$28,ABS(O66-$E66),10)</f>
        <v>0.16620945101309614</v>
      </c>
      <c r="O66">
        <f>1/SQRT((1-Calculation!$D$21/Calculation!$D$19*((1/'Frequency Data'!$A66)^2-1))^2+(Calculation!$D$3*'Frequency Data'!$A66*Calculation!$D$21/Calculation!$G$11*(1-(1/'Frequency Data'!$A66)^2))^2)*IF(Main!$Q$23,1,0)</f>
        <v>1.106904504980597</v>
      </c>
      <c r="P66">
        <f>IF(N66=10,0,$O$188)*IF(Main!$Q$23,1,0)*IF($A66&lt;Main!$S$28,1,0)</f>
        <v>1.1260880286363109</v>
      </c>
      <c r="R66">
        <f>IF($A66&gt;Main!Q$29,ABS(S66-$E66),10)</f>
        <v>10</v>
      </c>
      <c r="S66">
        <f>1/SQRT((1-Calculation!$D$21/Calculation!$D$19*((1/'Frequency Data'!$A66)^2-1))^2+(Calculation!$D$3*'Frequency Data'!$A66*Calculation!$D$21/Calculation!$H$11*(1-(1/'Frequency Data'!$A66)^2))^2)*IF(Main!$Q$24,1,0)</f>
        <v>1.0000546510758859</v>
      </c>
      <c r="T66">
        <f>IF(R66=10,0,$O$188)*IF(Main!$Q$23,1,0)*IF($A66&lt;Main!$S$29,1,0)</f>
        <v>0</v>
      </c>
    </row>
    <row r="67" spans="1:20" x14ac:dyDescent="0.3">
      <c r="A67">
        <v>0.75</v>
      </c>
      <c r="B67" s="48">
        <f>Main!$B$18</f>
        <v>1.171664943123061</v>
      </c>
      <c r="C67">
        <f>1/SQRT((1-Calculation!$B$21/Calculation!$B$19*((1/'Frequency Data'!$A67)^2-1))^2+(Calculation!$B$3*'Frequency Data'!$A67*Calculation!$B$21/Calculation!$B$11*(1-(1/'Frequency Data'!$A67)^2))^2)</f>
        <v>1.0532948882521647</v>
      </c>
      <c r="D67">
        <f>1/SQRT((1-Calculation!$D$21/Calculation!$D$19*((1/'Frequency Data'!$A67)^2-1))^2+(Calculation!$D$3*'Frequency Data'!$A67*Calculation!$D$21/Calculation!$D$11*(1-(1/'Frequency Data'!$A67)^2))^2)</f>
        <v>1.1144081361306861</v>
      </c>
      <c r="E67" s="48">
        <f>Main!$B$19</f>
        <v>0.94069505396750086</v>
      </c>
      <c r="F67" s="48"/>
      <c r="G67" s="63">
        <f>IF(A67&lt;Main!$K$23,0,Main!$B$18)*IF(A67&lt;Main!$L$23,1,0)</f>
        <v>1.171664943123061</v>
      </c>
      <c r="H67" s="63">
        <f>IF(A67&lt;Main!$K$24,0,Main!$B$18)*IF(A67&lt;Main!$L$24,1,0)</f>
        <v>1.171664943123061</v>
      </c>
      <c r="J67">
        <f>IF(A67&gt;Main!$K$23,ABS(C67-$E67),10)</f>
        <v>0.1125998342846638</v>
      </c>
      <c r="L67">
        <f>IF(A67&gt;Main!$K$23,ABS(D67-E67),10)</f>
        <v>0.17371308216318526</v>
      </c>
      <c r="N67">
        <f>IF($A67&gt;Main!Q$28,ABS(O67-$E67),10)</f>
        <v>0.16213135604026629</v>
      </c>
      <c r="O67">
        <f>1/SQRT((1-Calculation!$D$21/Calculation!$D$19*((1/'Frequency Data'!$A67)^2-1))^2+(Calculation!$D$3*'Frequency Data'!$A67*Calculation!$D$21/Calculation!$G$11*(1-(1/'Frequency Data'!$A67)^2))^2)*IF(Main!$Q$23,1,0)</f>
        <v>1.1028264100077672</v>
      </c>
      <c r="P67">
        <f>IF(N67=10,0,$O$188)*IF(Main!$Q$23,1,0)*IF($A67&lt;Main!$S$28,1,0)</f>
        <v>1.1260880286363109</v>
      </c>
      <c r="R67">
        <f>IF($A67&gt;Main!Q$29,ABS(S67-$E67),10)</f>
        <v>10</v>
      </c>
      <c r="S67">
        <f>1/SQRT((1-Calculation!$D$21/Calculation!$D$19*((1/'Frequency Data'!$A67)^2-1))^2+(Calculation!$D$3*'Frequency Data'!$A67*Calculation!$D$21/Calculation!$H$11*(1-(1/'Frequency Data'!$A67)^2))^2)*IF(Main!$Q$24,1,0)</f>
        <v>1.0052998238628148</v>
      </c>
      <c r="T67">
        <f>IF(R67=10,0,$O$188)*IF(Main!$Q$23,1,0)*IF($A67&lt;Main!$S$29,1,0)</f>
        <v>0</v>
      </c>
    </row>
    <row r="68" spans="1:20" x14ac:dyDescent="0.3">
      <c r="A68">
        <v>0.76</v>
      </c>
      <c r="B68" s="48">
        <f>Main!$B$18</f>
        <v>1.171664943123061</v>
      </c>
      <c r="C68">
        <f>1/SQRT((1-Calculation!$B$21/Calculation!$B$19*((1/'Frequency Data'!$A68)^2-1))^2+(Calculation!$B$3*'Frequency Data'!$A68*Calculation!$B$21/Calculation!$B$11*(1-(1/'Frequency Data'!$A68)^2))^2)</f>
        <v>1.0505140540403495</v>
      </c>
      <c r="D68">
        <f>1/SQRT((1-Calculation!$D$21/Calculation!$D$19*((1/'Frequency Data'!$A68)^2-1))^2+(Calculation!$D$3*'Frequency Data'!$A68*Calculation!$D$21/Calculation!$D$11*(1-(1/'Frequency Data'!$A68)^2))^2)</f>
        <v>1.1090731507763734</v>
      </c>
      <c r="E68" s="48">
        <f>Main!$B$19</f>
        <v>0.94069505396750086</v>
      </c>
      <c r="F68" s="48"/>
      <c r="G68" s="63">
        <f>IF(A68&lt;Main!$K$23,0,Main!$B$18)*IF(A68&lt;Main!$L$23,1,0)</f>
        <v>1.171664943123061</v>
      </c>
      <c r="H68" s="63">
        <f>IF(A68&lt;Main!$K$24,0,Main!$B$18)*IF(A68&lt;Main!$L$24,1,0)</f>
        <v>1.171664943123061</v>
      </c>
      <c r="J68">
        <f>IF(A68&gt;Main!$K$23,ABS(C68-$E68),10)</f>
        <v>0.10981900007284862</v>
      </c>
      <c r="L68">
        <f>IF(A68&gt;Main!$K$23,ABS(D68-E68),10)</f>
        <v>0.1683780968088725</v>
      </c>
      <c r="N68">
        <f>IF($A68&gt;Main!Q$28,ABS(O68-$E68),10)</f>
        <v>0.15799828830725671</v>
      </c>
      <c r="O68">
        <f>1/SQRT((1-Calculation!$D$21/Calculation!$D$19*((1/'Frequency Data'!$A68)^2-1))^2+(Calculation!$D$3*'Frequency Data'!$A68*Calculation!$D$21/Calculation!$G$11*(1-(1/'Frequency Data'!$A68)^2))^2)*IF(Main!$Q$23,1,0)</f>
        <v>1.0986933422747576</v>
      </c>
      <c r="P68">
        <f>IF(N68=10,0,$O$188)*IF(Main!$Q$23,1,0)*IF($A68&lt;Main!$S$28,1,0)</f>
        <v>1.1260880286363109</v>
      </c>
      <c r="R68">
        <f>IF($A68&gt;Main!Q$29,ABS(S68-$E68),10)</f>
        <v>10</v>
      </c>
      <c r="S68">
        <f>1/SQRT((1-Calculation!$D$21/Calculation!$D$19*((1/'Frequency Data'!$A68)^2-1))^2+(Calculation!$D$3*'Frequency Data'!$A68*Calculation!$D$21/Calculation!$H$11*(1-(1/'Frequency Data'!$A68)^2))^2)*IF(Main!$Q$24,1,0)</f>
        <v>1.0100193764653047</v>
      </c>
      <c r="T68">
        <f>IF(R68=10,0,$O$188)*IF(Main!$Q$23,1,0)*IF($A68&lt;Main!$S$29,1,0)</f>
        <v>0</v>
      </c>
    </row>
    <row r="69" spans="1:20" x14ac:dyDescent="0.3">
      <c r="A69">
        <v>0.77</v>
      </c>
      <c r="B69" s="48">
        <f>Main!$B$18</f>
        <v>1.171664943123061</v>
      </c>
      <c r="C69">
        <f>1/SQRT((1-Calculation!$B$21/Calculation!$B$19*((1/'Frequency Data'!$A69)^2-1))^2+(Calculation!$B$3*'Frequency Data'!$A69*Calculation!$B$21/Calculation!$B$11*(1-(1/'Frequency Data'!$A69)^2))^2)</f>
        <v>1.0478092719419971</v>
      </c>
      <c r="D69">
        <f>1/SQRT((1-Calculation!$D$21/Calculation!$D$19*((1/'Frequency Data'!$A69)^2-1))^2+(Calculation!$D$3*'Frequency Data'!$A69*Calculation!$D$21/Calculation!$D$11*(1-(1/'Frequency Data'!$A69)^2))^2)</f>
        <v>1.1037902149415872</v>
      </c>
      <c r="E69" s="48">
        <f>Main!$B$19</f>
        <v>0.94069505396750086</v>
      </c>
      <c r="F69" s="48"/>
      <c r="G69" s="63">
        <f>IF(A69&lt;Main!$K$23,0,Main!$B$18)*IF(A69&lt;Main!$L$23,1,0)</f>
        <v>1.171664943123061</v>
      </c>
      <c r="H69" s="63">
        <f>IF(A69&lt;Main!$K$24,0,Main!$B$18)*IF(A69&lt;Main!$L$24,1,0)</f>
        <v>1.171664943123061</v>
      </c>
      <c r="J69">
        <f>IF(A69&gt;Main!$K$23,ABS(C69-$E69),10)</f>
        <v>0.10711421797449627</v>
      </c>
      <c r="L69">
        <f>IF(A69&gt;Main!$K$23,ABS(D69-E69),10)</f>
        <v>0.16309516097408638</v>
      </c>
      <c r="N69">
        <f>IF($A69&gt;Main!Q$28,ABS(O69-$E69),10)</f>
        <v>0.15382260761398558</v>
      </c>
      <c r="O69">
        <f>1/SQRT((1-Calculation!$D$21/Calculation!$D$19*((1/'Frequency Data'!$A69)^2-1))^2+(Calculation!$D$3*'Frequency Data'!$A69*Calculation!$D$21/Calculation!$G$11*(1-(1/'Frequency Data'!$A69)^2))^2)*IF(Main!$Q$23,1,0)</f>
        <v>1.0945176615814864</v>
      </c>
      <c r="P69">
        <f>IF(N69=10,0,$O$188)*IF(Main!$Q$23,1,0)*IF($A69&lt;Main!$S$28,1,0)</f>
        <v>1.1260880286363109</v>
      </c>
      <c r="R69">
        <f>IF($A69&gt;Main!Q$29,ABS(S69-$E69),10)</f>
        <v>10</v>
      </c>
      <c r="S69">
        <f>1/SQRT((1-Calculation!$D$21/Calculation!$D$19*((1/'Frequency Data'!$A69)^2-1))^2+(Calculation!$D$3*'Frequency Data'!$A69*Calculation!$D$21/Calculation!$H$11*(1-(1/'Frequency Data'!$A69)^2))^2)*IF(Main!$Q$24,1,0)</f>
        <v>1.0142223586045225</v>
      </c>
      <c r="T69">
        <f>IF(R69=10,0,$O$188)*IF(Main!$Q$23,1,0)*IF($A69&lt;Main!$S$29,1,0)</f>
        <v>0</v>
      </c>
    </row>
    <row r="70" spans="1:20" x14ac:dyDescent="0.3">
      <c r="A70">
        <v>0.78</v>
      </c>
      <c r="B70" s="48">
        <f>Main!$B$18</f>
        <v>1.171664943123061</v>
      </c>
      <c r="C70">
        <f>1/SQRT((1-Calculation!$B$21/Calculation!$B$19*((1/'Frequency Data'!$A70)^2-1))^2+(Calculation!$B$3*'Frequency Data'!$A70*Calculation!$B$21/Calculation!$B$11*(1-(1/'Frequency Data'!$A70)^2))^2)</f>
        <v>1.0451768231276213</v>
      </c>
      <c r="D70">
        <f>1/SQRT((1-Calculation!$D$21/Calculation!$D$19*((1/'Frequency Data'!$A70)^2-1))^2+(Calculation!$D$3*'Frequency Data'!$A70*Calculation!$D$21/Calculation!$D$11*(1-(1/'Frequency Data'!$A70)^2))^2)</f>
        <v>1.0985643311932931</v>
      </c>
      <c r="E70" s="48">
        <f>Main!$B$19</f>
        <v>0.94069505396750086</v>
      </c>
      <c r="F70" s="48"/>
      <c r="G70" s="63">
        <f>IF(A70&lt;Main!$K$23,0,Main!$B$18)*IF(A70&lt;Main!$L$23,1,0)</f>
        <v>1.171664943123061</v>
      </c>
      <c r="H70" s="63">
        <f>IF(A70&lt;Main!$K$24,0,Main!$B$18)*IF(A70&lt;Main!$L$24,1,0)</f>
        <v>1.171664943123061</v>
      </c>
      <c r="J70">
        <f>IF(A70&gt;Main!$K$23,ABS(C70-$E70),10)</f>
        <v>0.10448176916012042</v>
      </c>
      <c r="L70">
        <f>IF(A70&gt;Main!$K$23,ABS(D70-E70),10)</f>
        <v>0.15786927722579225</v>
      </c>
      <c r="N70">
        <f>IF($A70&gt;Main!Q$28,ABS(O70-$E70),10)</f>
        <v>0.14961507952836517</v>
      </c>
      <c r="O70">
        <f>1/SQRT((1-Calculation!$D$21/Calculation!$D$19*((1/'Frequency Data'!$A70)^2-1))^2+(Calculation!$D$3*'Frequency Data'!$A70*Calculation!$D$21/Calculation!$G$11*(1-(1/'Frequency Data'!$A70)^2))^2)*IF(Main!$Q$23,1,0)</f>
        <v>1.090310133495866</v>
      </c>
      <c r="P70">
        <f>IF(N70=10,0,$O$188)*IF(Main!$Q$23,1,0)*IF($A70&lt;Main!$S$28,1,0)</f>
        <v>1.1260880286363109</v>
      </c>
      <c r="R70">
        <f>IF($A70&gt;Main!Q$29,ABS(S70-$E70),10)</f>
        <v>10</v>
      </c>
      <c r="S70">
        <f>1/SQRT((1-Calculation!$D$21/Calculation!$D$19*((1/'Frequency Data'!$A70)^2-1))^2+(Calculation!$D$3*'Frequency Data'!$A70*Calculation!$D$21/Calculation!$H$11*(1-(1/'Frequency Data'!$A70)^2))^2)*IF(Main!$Q$24,1,0)</f>
        <v>1.0179189954096659</v>
      </c>
      <c r="T70">
        <f>IF(R70=10,0,$O$188)*IF(Main!$Q$23,1,0)*IF($A70&lt;Main!$S$29,1,0)</f>
        <v>0</v>
      </c>
    </row>
    <row r="71" spans="1:20" x14ac:dyDescent="0.3">
      <c r="A71">
        <v>0.79</v>
      </c>
      <c r="B71" s="48">
        <f>Main!$B$18</f>
        <v>1.171664943123061</v>
      </c>
      <c r="C71">
        <f>1/SQRT((1-Calculation!$B$21/Calculation!$B$19*((1/'Frequency Data'!$A71)^2-1))^2+(Calculation!$B$3*'Frequency Data'!$A71*Calculation!$B$21/Calculation!$B$11*(1-(1/'Frequency Data'!$A71)^2))^2)</f>
        <v>1.0426131764274569</v>
      </c>
      <c r="D71">
        <f>1/SQRT((1-Calculation!$D$21/Calculation!$D$19*((1/'Frequency Data'!$A71)^2-1))^2+(Calculation!$D$3*'Frequency Data'!$A71*Calculation!$D$21/Calculation!$D$11*(1-(1/'Frequency Data'!$A71)^2))^2)</f>
        <v>1.0933993829351534</v>
      </c>
      <c r="E71" s="48">
        <f>Main!$B$19</f>
        <v>0.94069505396750086</v>
      </c>
      <c r="F71" s="48"/>
      <c r="G71" s="63">
        <f>IF(A71&lt;Main!$K$23,0,Main!$B$18)*IF(A71&lt;Main!$L$23,1,0)</f>
        <v>1.171664943123061</v>
      </c>
      <c r="H71" s="63">
        <f>IF(A71&lt;Main!$K$24,0,Main!$B$18)*IF(A71&lt;Main!$L$24,1,0)</f>
        <v>1.171664943123061</v>
      </c>
      <c r="J71">
        <f>IF(A71&gt;Main!$K$23,ABS(C71-$E71),10)</f>
        <v>0.10191812245995602</v>
      </c>
      <c r="L71">
        <f>IF(A71&gt;Main!$K$23,ABS(D71-E71),10)</f>
        <v>0.15270432896765251</v>
      </c>
      <c r="N71">
        <f>IF($A71&gt;Main!Q$28,ABS(O71-$E71),10)</f>
        <v>0.14538506296464637</v>
      </c>
      <c r="O71">
        <f>1/SQRT((1-Calculation!$D$21/Calculation!$D$19*((1/'Frequency Data'!$A71)^2-1))^2+(Calculation!$D$3*'Frequency Data'!$A71*Calculation!$D$21/Calculation!$G$11*(1-(1/'Frequency Data'!$A71)^2))^2)*IF(Main!$Q$23,1,0)</f>
        <v>1.0860801169321472</v>
      </c>
      <c r="P71">
        <f>IF(N71=10,0,$O$188)*IF(Main!$Q$23,1,0)*IF($A71&lt;Main!$S$28,1,0)</f>
        <v>1.1260880286363109</v>
      </c>
      <c r="R71">
        <f>IF($A71&gt;Main!Q$29,ABS(S71-$E71),10)</f>
        <v>10</v>
      </c>
      <c r="S71">
        <f>1/SQRT((1-Calculation!$D$21/Calculation!$D$19*((1/'Frequency Data'!$A71)^2-1))^2+(Calculation!$D$3*'Frequency Data'!$A71*Calculation!$D$21/Calculation!$H$11*(1-(1/'Frequency Data'!$A71)^2))^2)*IF(Main!$Q$24,1,0)</f>
        <v>1.0211205867953832</v>
      </c>
      <c r="T71">
        <f>IF(R71=10,0,$O$188)*IF(Main!$Q$23,1,0)*IF($A71&lt;Main!$S$29,1,0)</f>
        <v>0</v>
      </c>
    </row>
    <row r="72" spans="1:20" x14ac:dyDescent="0.3">
      <c r="A72">
        <v>0.8</v>
      </c>
      <c r="B72" s="48">
        <f>Main!$B$18</f>
        <v>1.171664943123061</v>
      </c>
      <c r="C72">
        <f>1/SQRT((1-Calculation!$B$21/Calculation!$B$19*((1/'Frequency Data'!$A72)^2-1))^2+(Calculation!$B$3*'Frequency Data'!$A72*Calculation!$B$21/Calculation!$B$11*(1-(1/'Frequency Data'!$A72)^2))^2)</f>
        <v>1.0401149802034195</v>
      </c>
      <c r="D72">
        <f>1/SQRT((1-Calculation!$D$21/Calculation!$D$19*((1/'Frequency Data'!$A72)^2-1))^2+(Calculation!$D$3*'Frequency Data'!$A72*Calculation!$D$21/Calculation!$D$11*(1-(1/'Frequency Data'!$A72)^2))^2)</f>
        <v>1.0882983045423194</v>
      </c>
      <c r="E72" s="48">
        <f>Main!$B$19</f>
        <v>0.94069505396750086</v>
      </c>
      <c r="F72" s="48"/>
      <c r="G72" s="63">
        <f>IF(A72&lt;Main!$K$23,0,Main!$B$18)*IF(A72&lt;Main!$L$23,1,0)</f>
        <v>1.171664943123061</v>
      </c>
      <c r="H72" s="63">
        <f>IF(A72&lt;Main!$K$24,0,Main!$B$18)*IF(A72&lt;Main!$L$24,1,0)</f>
        <v>1.171664943123061</v>
      </c>
      <c r="J72">
        <f>IF(A72&gt;Main!$K$23,ABS(C72-$E72),10)</f>
        <v>9.9419926235918665E-2</v>
      </c>
      <c r="L72">
        <f>IF(A72&gt;Main!$K$23,ABS(D72-E72),10)</f>
        <v>0.14760325057481849</v>
      </c>
      <c r="N72">
        <f>IF($A72&gt;Main!Q$28,ABS(O72-$E72),10)</f>
        <v>0.14114067711894906</v>
      </c>
      <c r="O72">
        <f>1/SQRT((1-Calculation!$D$21/Calculation!$D$19*((1/'Frequency Data'!$A72)^2-1))^2+(Calculation!$D$3*'Frequency Data'!$A72*Calculation!$D$21/Calculation!$G$11*(1-(1/'Frequency Data'!$A72)^2))^2)*IF(Main!$Q$23,1,0)</f>
        <v>1.0818357310864499</v>
      </c>
      <c r="P72">
        <f>IF(N72=10,0,$O$188)*IF(Main!$Q$23,1,0)*IF($A72&lt;Main!$S$28,1,0)</f>
        <v>1.1260880286363109</v>
      </c>
      <c r="R72">
        <f>IF($A72&gt;Main!Q$29,ABS(S72-$E72),10)</f>
        <v>10</v>
      </c>
      <c r="S72">
        <f>1/SQRT((1-Calculation!$D$21/Calculation!$D$19*((1/'Frequency Data'!$A72)^2-1))^2+(Calculation!$D$3*'Frequency Data'!$A72*Calculation!$D$21/Calculation!$H$11*(1-(1/'Frequency Data'!$A72)^2))^2)*IF(Main!$Q$24,1,0)</f>
        <v>1.0238394028527209</v>
      </c>
      <c r="T72">
        <f>IF(R72=10,0,$O$188)*IF(Main!$Q$23,1,0)*IF($A72&lt;Main!$S$29,1,0)</f>
        <v>0</v>
      </c>
    </row>
    <row r="73" spans="1:20" x14ac:dyDescent="0.3">
      <c r="A73">
        <v>0.81</v>
      </c>
      <c r="B73" s="48">
        <f>Main!$B$18</f>
        <v>1.171664943123061</v>
      </c>
      <c r="C73">
        <f>1/SQRT((1-Calculation!$B$21/Calculation!$B$19*((1/'Frequency Data'!$A73)^2-1))^2+(Calculation!$B$3*'Frequency Data'!$A73*Calculation!$B$21/Calculation!$B$11*(1-(1/'Frequency Data'!$A73)^2))^2)</f>
        <v>1.0376790541582799</v>
      </c>
      <c r="D73">
        <f>1/SQRT((1-Calculation!$D$21/Calculation!$D$19*((1/'Frequency Data'!$A73)^2-1))^2+(Calculation!$D$3*'Frequency Data'!$A73*Calculation!$D$21/Calculation!$D$11*(1-(1/'Frequency Data'!$A73)^2))^2)</f>
        <v>1.083263227697481</v>
      </c>
      <c r="E73" s="48">
        <f>Main!$B$19</f>
        <v>0.94069505396750086</v>
      </c>
      <c r="F73" s="48"/>
      <c r="G73" s="63">
        <f>IF(A73&lt;Main!$K$23,0,Main!$B$18)*IF(A73&lt;Main!$L$23,1,0)</f>
        <v>1.171664943123061</v>
      </c>
      <c r="H73" s="63">
        <f>IF(A73&lt;Main!$K$24,0,Main!$B$18)*IF(A73&lt;Main!$L$24,1,0)</f>
        <v>1.171664943123061</v>
      </c>
      <c r="J73">
        <f>IF(A73&gt;Main!$K$23,ABS(C73-$E73),10)</f>
        <v>9.6984000190779018E-2</v>
      </c>
      <c r="L73">
        <f>IF(A73&gt;Main!$K$23,ABS(D73-E73),10)</f>
        <v>0.1425681737299801</v>
      </c>
      <c r="N73">
        <f>IF($A73&gt;Main!Q$28,ABS(O73-$E73),10)</f>
        <v>0.13688894972554533</v>
      </c>
      <c r="O73">
        <f>1/SQRT((1-Calculation!$D$21/Calculation!$D$19*((1/'Frequency Data'!$A73)^2-1))^2+(Calculation!$D$3*'Frequency Data'!$A73*Calculation!$D$21/Calculation!$G$11*(1-(1/'Frequency Data'!$A73)^2))^2)*IF(Main!$Q$23,1,0)</f>
        <v>1.0775840036930462</v>
      </c>
      <c r="P73">
        <f>IF(N73=10,0,$O$188)*IF(Main!$Q$23,1,0)*IF($A73&lt;Main!$S$28,1,0)</f>
        <v>1.1260880286363109</v>
      </c>
      <c r="R73">
        <f>IF($A73&gt;Main!Q$29,ABS(S73-$E73),10)</f>
        <v>10</v>
      </c>
      <c r="S73">
        <f>1/SQRT((1-Calculation!$D$21/Calculation!$D$19*((1/'Frequency Data'!$A73)^2-1))^2+(Calculation!$D$3*'Frequency Data'!$A73*Calculation!$D$21/Calculation!$H$11*(1-(1/'Frequency Data'!$A73)^2))^2)*IF(Main!$Q$24,1,0)</f>
        <v>1.0260885767593748</v>
      </c>
      <c r="T73">
        <f>IF(R73=10,0,$O$188)*IF(Main!$Q$23,1,0)*IF($A73&lt;Main!$S$29,1,0)</f>
        <v>0</v>
      </c>
    </row>
    <row r="74" spans="1:20" x14ac:dyDescent="0.3">
      <c r="A74">
        <v>0.82</v>
      </c>
      <c r="B74" s="48">
        <f>Main!$B$18</f>
        <v>1.171664943123061</v>
      </c>
      <c r="C74">
        <f>1/SQRT((1-Calculation!$B$21/Calculation!$B$19*((1/'Frequency Data'!$A74)^2-1))^2+(Calculation!$B$3*'Frequency Data'!$A74*Calculation!$B$21/Calculation!$B$11*(1-(1/'Frequency Data'!$A74)^2))^2)</f>
        <v>1.0353023811945514</v>
      </c>
      <c r="D74">
        <f>1/SQRT((1-Calculation!$D$21/Calculation!$D$19*((1/'Frequency Data'!$A74)^2-1))^2+(Calculation!$D$3*'Frequency Data'!$A74*Calculation!$D$21/Calculation!$D$11*(1-(1/'Frequency Data'!$A74)^2))^2)</f>
        <v>1.0782956071137308</v>
      </c>
      <c r="E74" s="48">
        <f>Main!$B$19</f>
        <v>0.94069505396750086</v>
      </c>
      <c r="F74" s="48"/>
      <c r="G74" s="63">
        <f>IF(A74&lt;Main!$K$23,0,Main!$B$18)*IF(A74&lt;Main!$L$23,1,0)</f>
        <v>1.171664943123061</v>
      </c>
      <c r="H74" s="63">
        <f>IF(A74&lt;Main!$K$24,0,Main!$B$18)*IF(A74&lt;Main!$L$24,1,0)</f>
        <v>1.171664943123061</v>
      </c>
      <c r="J74">
        <f>IF(A74&gt;Main!$K$23,ABS(C74-$E74),10)</f>
        <v>9.4607327227050564E-2</v>
      </c>
      <c r="L74">
        <f>IF(A74&gt;Main!$K$23,ABS(D74-E74),10)</f>
        <v>0.13760055314622999</v>
      </c>
      <c r="N74">
        <f>IF($A74&gt;Main!Q$28,ABS(O74-$E74),10)</f>
        <v>0.13263594849521076</v>
      </c>
      <c r="O74">
        <f>1/SQRT((1-Calculation!$D$21/Calculation!$D$19*((1/'Frequency Data'!$A74)^2-1))^2+(Calculation!$D$3*'Frequency Data'!$A74*Calculation!$D$21/Calculation!$G$11*(1-(1/'Frequency Data'!$A74)^2))^2)*IF(Main!$Q$23,1,0)</f>
        <v>1.0733310024627116</v>
      </c>
      <c r="P74">
        <f>IF(N74=10,0,$O$188)*IF(Main!$Q$23,1,0)*IF($A74&lt;Main!$S$28,1,0)</f>
        <v>1.1260880286363109</v>
      </c>
      <c r="R74">
        <f>IF($A74&gt;Main!Q$29,ABS(S74-$E74),10)</f>
        <v>10</v>
      </c>
      <c r="S74">
        <f>1/SQRT((1-Calculation!$D$21/Calculation!$D$19*((1/'Frequency Data'!$A74)^2-1))^2+(Calculation!$D$3*'Frequency Data'!$A74*Calculation!$D$21/Calculation!$H$11*(1-(1/'Frequency Data'!$A74)^2))^2)*IF(Main!$Q$24,1,0)</f>
        <v>1.0278819966481612</v>
      </c>
      <c r="T74">
        <f>IF(R74=10,0,$O$188)*IF(Main!$Q$23,1,0)*IF($A74&lt;Main!$S$29,1,0)</f>
        <v>0</v>
      </c>
    </row>
    <row r="75" spans="1:20" x14ac:dyDescent="0.3">
      <c r="A75">
        <v>0.83</v>
      </c>
      <c r="B75" s="48">
        <f>Main!$B$18</f>
        <v>1.171664943123061</v>
      </c>
      <c r="C75">
        <f>1/SQRT((1-Calculation!$B$21/Calculation!$B$19*((1/'Frequency Data'!$A75)^2-1))^2+(Calculation!$B$3*'Frequency Data'!$A75*Calculation!$B$21/Calculation!$B$11*(1-(1/'Frequency Data'!$A75)^2))^2)</f>
        <v>1.0329820994075776</v>
      </c>
      <c r="D75">
        <f>1/SQRT((1-Calculation!$D$21/Calculation!$D$19*((1/'Frequency Data'!$A75)^2-1))^2+(Calculation!$D$3*'Frequency Data'!$A75*Calculation!$D$21/Calculation!$D$11*(1-(1/'Frequency Data'!$A75)^2))^2)</f>
        <v>1.0733963284353685</v>
      </c>
      <c r="E75" s="48">
        <f>Main!$B$19</f>
        <v>0.94069505396750086</v>
      </c>
      <c r="F75" s="48"/>
      <c r="G75" s="63">
        <f>IF(A75&lt;Main!$K$23,0,Main!$B$18)*IF(A75&lt;Main!$L$23,1,0)</f>
        <v>1.171664943123061</v>
      </c>
      <c r="H75" s="63">
        <f>IF(A75&lt;Main!$K$24,0,Main!$B$18)*IF(A75&lt;Main!$L$24,1,0)</f>
        <v>1.171664943123061</v>
      </c>
      <c r="J75">
        <f>IF(A75&gt;Main!$K$23,ABS(C75-$E75),10)</f>
        <v>9.2287045440076709E-2</v>
      </c>
      <c r="L75">
        <f>IF(A75&gt;Main!$K$23,ABS(D75-E75),10)</f>
        <v>0.13270127446786761</v>
      </c>
      <c r="N75">
        <f>IF($A75&gt;Main!Q$28,ABS(O75-$E75),10)</f>
        <v>0.12838689747381393</v>
      </c>
      <c r="O75">
        <f>1/SQRT((1-Calculation!$D$21/Calculation!$D$19*((1/'Frequency Data'!$A75)^2-1))^2+(Calculation!$D$3*'Frequency Data'!$A75*Calculation!$D$21/Calculation!$G$11*(1-(1/'Frequency Data'!$A75)^2))^2)*IF(Main!$Q$23,1,0)</f>
        <v>1.0690819514413148</v>
      </c>
      <c r="P75">
        <f>IF(N75=10,0,$O$188)*IF(Main!$Q$23,1,0)*IF($A75&lt;Main!$S$28,1,0)</f>
        <v>1.1260880286363109</v>
      </c>
      <c r="R75">
        <f>IF($A75&gt;Main!Q$29,ABS(S75-$E75),10)</f>
        <v>10</v>
      </c>
      <c r="S75">
        <f>1/SQRT((1-Calculation!$D$21/Calculation!$D$19*((1/'Frequency Data'!$A75)^2-1))^2+(Calculation!$D$3*'Frequency Data'!$A75*Calculation!$D$21/Calculation!$H$11*(1-(1/'Frequency Data'!$A75)^2))^2)*IF(Main!$Q$24,1,0)</f>
        <v>1.0292341977804711</v>
      </c>
      <c r="T75">
        <f>IF(R75=10,0,$O$188)*IF(Main!$Q$23,1,0)*IF($A75&lt;Main!$S$29,1,0)</f>
        <v>0</v>
      </c>
    </row>
    <row r="76" spans="1:20" x14ac:dyDescent="0.3">
      <c r="A76">
        <v>0.84</v>
      </c>
      <c r="B76" s="48">
        <f>Main!$B$18</f>
        <v>1.171664943123061</v>
      </c>
      <c r="C76">
        <f>1/SQRT((1-Calculation!$B$21/Calculation!$B$19*((1/'Frequency Data'!$A76)^2-1))^2+(Calculation!$B$3*'Frequency Data'!$A76*Calculation!$B$21/Calculation!$B$11*(1-(1/'Frequency Data'!$A76)^2))^2)</f>
        <v>1.0307154942751076</v>
      </c>
      <c r="D76">
        <f>1/SQRT((1-Calculation!$D$21/Calculation!$D$19*((1/'Frequency Data'!$A76)^2-1))^2+(Calculation!$D$3*'Frequency Data'!$A76*Calculation!$D$21/Calculation!$D$11*(1-(1/'Frequency Data'!$A76)^2))^2)</f>
        <v>1.0685658007522318</v>
      </c>
      <c r="E76" s="48">
        <f>Main!$B$19</f>
        <v>0.94069505396750086</v>
      </c>
      <c r="F76" s="48"/>
      <c r="G76" s="63">
        <f>IF(A76&lt;Main!$K$23,0,Main!$B$18)*IF(A76&lt;Main!$L$23,1,0)</f>
        <v>1.171664943123061</v>
      </c>
      <c r="H76" s="63">
        <f>IF(A76&lt;Main!$K$24,0,Main!$B$18)*IF(A76&lt;Main!$L$24,1,0)</f>
        <v>1.171664943123061</v>
      </c>
      <c r="J76">
        <f>IF(A76&gt;Main!$K$23,ABS(C76-$E76),10)</f>
        <v>9.0020440307606697E-2</v>
      </c>
      <c r="L76">
        <f>IF(A76&gt;Main!$K$23,ABS(D76-E76),10)</f>
        <v>0.12787074678473098</v>
      </c>
      <c r="N76">
        <f>IF($A76&gt;Main!Q$28,ABS(O76-$E76),10)</f>
        <v>0.12414627992564065</v>
      </c>
      <c r="O76">
        <f>1/SQRT((1-Calculation!$D$21/Calculation!$D$19*((1/'Frequency Data'!$A76)^2-1))^2+(Calculation!$D$3*'Frequency Data'!$A76*Calculation!$D$21/Calculation!$G$11*(1-(1/'Frequency Data'!$A76)^2))^2)*IF(Main!$Q$23,1,0)</f>
        <v>1.0648413338931415</v>
      </c>
      <c r="P76">
        <f>IF(N76=10,0,$O$188)*IF(Main!$Q$23,1,0)*IF($A76&lt;Main!$S$28,1,0)</f>
        <v>1.1260880286363109</v>
      </c>
      <c r="R76">
        <f>IF($A76&gt;Main!Q$29,ABS(S76-$E76),10)</f>
        <v>10</v>
      </c>
      <c r="S76">
        <f>1/SQRT((1-Calculation!$D$21/Calculation!$D$19*((1/'Frequency Data'!$A76)^2-1))^2+(Calculation!$D$3*'Frequency Data'!$A76*Calculation!$D$21/Calculation!$H$11*(1-(1/'Frequency Data'!$A76)^2))^2)*IF(Main!$Q$24,1,0)</f>
        <v>1.0301602562590269</v>
      </c>
      <c r="T76">
        <f>IF(R76=10,0,$O$188)*IF(Main!$Q$23,1,0)*IF($A76&lt;Main!$S$29,1,0)</f>
        <v>0</v>
      </c>
    </row>
    <row r="77" spans="1:20" x14ac:dyDescent="0.3">
      <c r="A77">
        <v>0.85</v>
      </c>
      <c r="B77" s="48">
        <f>Main!$B$18</f>
        <v>1.171664943123061</v>
      </c>
      <c r="C77">
        <f>1/SQRT((1-Calculation!$B$21/Calculation!$B$19*((1/'Frequency Data'!$A77)^2-1))^2+(Calculation!$B$3*'Frequency Data'!$A77*Calculation!$B$21/Calculation!$B$11*(1-(1/'Frequency Data'!$A77)^2))^2)</f>
        <v>1.0284999910881332</v>
      </c>
      <c r="D77">
        <f>1/SQRT((1-Calculation!$D$21/Calculation!$D$19*((1/'Frequency Data'!$A77)^2-1))^2+(Calculation!$D$3*'Frequency Data'!$A77*Calculation!$D$21/Calculation!$D$11*(1-(1/'Frequency Data'!$A77)^2))^2)</f>
        <v>1.0638040358459033</v>
      </c>
      <c r="E77" s="48">
        <f>Main!$B$19</f>
        <v>0.94069505396750086</v>
      </c>
      <c r="F77" s="48"/>
      <c r="G77" s="63">
        <f>IF(A77&lt;Main!$K$23,0,Main!$B$18)*IF(A77&lt;Main!$L$23,1,0)</f>
        <v>1.171664943123061</v>
      </c>
      <c r="H77" s="63">
        <f>IF(A77&lt;Main!$K$24,0,Main!$B$18)*IF(A77&lt;Main!$L$24,1,0)</f>
        <v>1.171664943123061</v>
      </c>
      <c r="J77">
        <f>IF(A77&gt;Main!$K$23,ABS(C77-$E77),10)</f>
        <v>8.7804937120632309E-2</v>
      </c>
      <c r="L77">
        <f>IF(A77&gt;Main!$K$23,ABS(D77-E77),10)</f>
        <v>0.12310898187840247</v>
      </c>
      <c r="N77">
        <f>IF($A77&gt;Main!Q$28,ABS(O77-$E77),10)</f>
        <v>0.11991792920908473</v>
      </c>
      <c r="O77">
        <f>1/SQRT((1-Calculation!$D$21/Calculation!$D$19*((1/'Frequency Data'!$A77)^2-1))^2+(Calculation!$D$3*'Frequency Data'!$A77*Calculation!$D$21/Calculation!$G$11*(1-(1/'Frequency Data'!$A77)^2))^2)*IF(Main!$Q$23,1,0)</f>
        <v>1.0606129831765856</v>
      </c>
      <c r="P77">
        <f>IF(N77=10,0,$O$188)*IF(Main!$Q$23,1,0)*IF($A77&lt;Main!$S$28,1,0)</f>
        <v>1.1260880286363109</v>
      </c>
      <c r="R77">
        <f>IF($A77&gt;Main!Q$29,ABS(S77-$E77),10)</f>
        <v>10</v>
      </c>
      <c r="S77">
        <f>1/SQRT((1-Calculation!$D$21/Calculation!$D$19*((1/'Frequency Data'!$A77)^2-1))^2+(Calculation!$D$3*'Frequency Data'!$A77*Calculation!$D$21/Calculation!$H$11*(1-(1/'Frequency Data'!$A77)^2))^2)*IF(Main!$Q$24,1,0)</f>
        <v>1.0306756853865062</v>
      </c>
      <c r="T77">
        <f>IF(R77=10,0,$O$188)*IF(Main!$Q$23,1,0)*IF($A77&lt;Main!$S$29,1,0)</f>
        <v>0</v>
      </c>
    </row>
    <row r="78" spans="1:20" x14ac:dyDescent="0.3">
      <c r="A78">
        <v>0.86</v>
      </c>
      <c r="B78" s="48">
        <f>Main!$B$18</f>
        <v>1.171664943123061</v>
      </c>
      <c r="C78">
        <f>1/SQRT((1-Calculation!$B$21/Calculation!$B$19*((1/'Frequency Data'!$A78)^2-1))^2+(Calculation!$B$3*'Frequency Data'!$A78*Calculation!$B$21/Calculation!$B$11*(1-(1/'Frequency Data'!$A78)^2))^2)</f>
        <v>1.0263331476539523</v>
      </c>
      <c r="D78">
        <f>1/SQRT((1-Calculation!$D$21/Calculation!$D$19*((1/'Frequency Data'!$A78)^2-1))^2+(Calculation!$D$3*'Frequency Data'!$A78*Calculation!$D$21/Calculation!$D$11*(1-(1/'Frequency Data'!$A78)^2))^2)</f>
        <v>1.0591107160053923</v>
      </c>
      <c r="E78" s="48">
        <f>Main!$B$19</f>
        <v>0.94069505396750086</v>
      </c>
      <c r="F78" s="48"/>
      <c r="G78" s="63">
        <f>IF(A78&lt;Main!$K$23,0,Main!$B$18)*IF(A78&lt;Main!$L$23,1,0)</f>
        <v>1.171664943123061</v>
      </c>
      <c r="H78" s="63">
        <f>IF(A78&lt;Main!$K$24,0,Main!$B$18)*IF(A78&lt;Main!$L$24,1,0)</f>
        <v>1.171664943123061</v>
      </c>
      <c r="J78">
        <f>IF(A78&gt;Main!$K$23,ABS(C78-$E78),10)</f>
        <v>8.5638093686451477E-2</v>
      </c>
      <c r="L78">
        <f>IF(A78&gt;Main!$K$23,ABS(D78-E78),10)</f>
        <v>0.11841566203789144</v>
      </c>
      <c r="N78">
        <f>IF($A78&gt;Main!Q$28,ABS(O78-$E78),10)</f>
        <v>0.11570510897740272</v>
      </c>
      <c r="O78">
        <f>1/SQRT((1-Calculation!$D$21/Calculation!$D$19*((1/'Frequency Data'!$A78)^2-1))^2+(Calculation!$D$3*'Frequency Data'!$A78*Calculation!$D$21/Calculation!$G$11*(1-(1/'Frequency Data'!$A78)^2))^2)*IF(Main!$Q$23,1,0)</f>
        <v>1.0564001629449036</v>
      </c>
      <c r="P78">
        <f>IF(N78=10,0,$O$188)*IF(Main!$Q$23,1,0)*IF($A78&lt;Main!$S$28,1,0)</f>
        <v>1.1260880286363109</v>
      </c>
      <c r="R78">
        <f>IF($A78&gt;Main!Q$29,ABS(S78-$E78),10)</f>
        <v>10</v>
      </c>
      <c r="S78">
        <f>1/SQRT((1-Calculation!$D$21/Calculation!$D$19*((1/'Frequency Data'!$A78)^2-1))^2+(Calculation!$D$3*'Frequency Data'!$A78*Calculation!$D$21/Calculation!$H$11*(1-(1/'Frequency Data'!$A78)^2))^2)*IF(Main!$Q$24,1,0)</f>
        <v>1.0307963356385603</v>
      </c>
      <c r="T78">
        <f>IF(R78=10,0,$O$188)*IF(Main!$Q$23,1,0)*IF($A78&lt;Main!$S$29,1,0)</f>
        <v>0</v>
      </c>
    </row>
    <row r="79" spans="1:20" x14ac:dyDescent="0.3">
      <c r="A79">
        <v>0.87</v>
      </c>
      <c r="B79" s="48">
        <f>Main!$B$18</f>
        <v>1.171664943123061</v>
      </c>
      <c r="C79">
        <f>1/SQRT((1-Calculation!$B$21/Calculation!$B$19*((1/'Frequency Data'!$A79)^2-1))^2+(Calculation!$B$3*'Frequency Data'!$A79*Calculation!$B$21/Calculation!$B$11*(1-(1/'Frequency Data'!$A79)^2))^2)</f>
        <v>1.0242126472916098</v>
      </c>
      <c r="D79">
        <f>1/SQRT((1-Calculation!$D$21/Calculation!$D$19*((1/'Frequency Data'!$A79)^2-1))^2+(Calculation!$D$3*'Frequency Data'!$A79*Calculation!$D$21/Calculation!$D$11*(1-(1/'Frequency Data'!$A79)^2))^2)</f>
        <v>1.0544852520029837</v>
      </c>
      <c r="E79" s="48">
        <f>Main!$B$19</f>
        <v>0.94069505396750086</v>
      </c>
      <c r="F79" s="48"/>
      <c r="G79" s="63">
        <f>IF(A79&lt;Main!$K$23,0,Main!$B$18)*IF(A79&lt;Main!$L$23,1,0)</f>
        <v>1.171664943123061</v>
      </c>
      <c r="H79" s="63">
        <f>IF(A79&lt;Main!$K$24,0,Main!$B$18)*IF(A79&lt;Main!$L$24,1,0)</f>
        <v>1.171664943123061</v>
      </c>
      <c r="J79">
        <f>IF(A79&gt;Main!$K$23,ABS(C79-$E79),10)</f>
        <v>8.3517593324108907E-2</v>
      </c>
      <c r="L79">
        <f>IF(A79&gt;Main!$K$23,ABS(D79-E79),10)</f>
        <v>0.11379019803548285</v>
      </c>
      <c r="N79">
        <f>IF($A79&gt;Main!Q$28,ABS(O79-$E79),10)</f>
        <v>0.1115105839075573</v>
      </c>
      <c r="O79">
        <f>1/SQRT((1-Calculation!$D$21/Calculation!$D$19*((1/'Frequency Data'!$A79)^2-1))^2+(Calculation!$D$3*'Frequency Data'!$A79*Calculation!$D$21/Calculation!$G$11*(1-(1/'Frequency Data'!$A79)^2))^2)*IF(Main!$Q$23,1,0)</f>
        <v>1.0522056378750582</v>
      </c>
      <c r="P79">
        <f>IF(N79=10,0,$O$188)*IF(Main!$Q$23,1,0)*IF($A79&lt;Main!$S$28,1,0)</f>
        <v>1.1260880286363109</v>
      </c>
      <c r="R79">
        <f>IF($A79&gt;Main!Q$29,ABS(S79-$E79),10)</f>
        <v>10</v>
      </c>
      <c r="S79">
        <f>1/SQRT((1-Calculation!$D$21/Calculation!$D$19*((1/'Frequency Data'!$A79)^2-1))^2+(Calculation!$D$3*'Frequency Data'!$A79*Calculation!$D$21/Calculation!$H$11*(1-(1/'Frequency Data'!$A79)^2))^2)*IF(Main!$Q$24,1,0)</f>
        <v>1.0305382990760612</v>
      </c>
      <c r="T79">
        <f>IF(R79=10,0,$O$188)*IF(Main!$Q$23,1,0)*IF($A79&lt;Main!$S$29,1,0)</f>
        <v>0</v>
      </c>
    </row>
    <row r="80" spans="1:20" x14ac:dyDescent="0.3">
      <c r="A80">
        <v>0.88</v>
      </c>
      <c r="B80" s="48">
        <f>Main!$B$18</f>
        <v>1.171664943123061</v>
      </c>
      <c r="C80">
        <f>1/SQRT((1-Calculation!$B$21/Calculation!$B$19*((1/'Frequency Data'!$A80)^2-1))^2+(Calculation!$B$3*'Frequency Data'!$A80*Calculation!$B$21/Calculation!$B$11*(1-(1/'Frequency Data'!$A80)^2))^2)</f>
        <v>1.022136292131439</v>
      </c>
      <c r="D80">
        <f>1/SQRT((1-Calculation!$D$21/Calculation!$D$19*((1/'Frequency Data'!$A80)^2-1))^2+(Calculation!$D$3*'Frequency Data'!$A80*Calculation!$D$21/Calculation!$D$11*(1-(1/'Frequency Data'!$A80)^2))^2)</f>
        <v>1.0499268326048992</v>
      </c>
      <c r="E80" s="48">
        <f>Main!$B$19</f>
        <v>0.94069505396750086</v>
      </c>
      <c r="F80" s="48"/>
      <c r="G80" s="63">
        <f>IF(A80&lt;Main!$K$23,0,Main!$B$18)*IF(A80&lt;Main!$L$23,1,0)</f>
        <v>1.171664943123061</v>
      </c>
      <c r="H80" s="63">
        <f>IF(A80&lt;Main!$K$24,0,Main!$B$18)*IF(A80&lt;Main!$L$24,1,0)</f>
        <v>1.171664943123061</v>
      </c>
      <c r="J80">
        <f>IF(A80&gt;Main!$K$23,ABS(C80-$E80),10)</f>
        <v>8.1441238163938112E-2</v>
      </c>
      <c r="L80">
        <f>IF(A80&gt;Main!$K$23,ABS(D80-E80),10)</f>
        <v>0.1092317786373983</v>
      </c>
      <c r="N80">
        <f>IF($A80&gt;Main!Q$28,ABS(O80-$E80),10)</f>
        <v>0.10733668203792435</v>
      </c>
      <c r="O80">
        <f>1/SQRT((1-Calculation!$D$21/Calculation!$D$19*((1/'Frequency Data'!$A80)^2-1))^2+(Calculation!$D$3*'Frequency Data'!$A80*Calculation!$D$21/Calculation!$G$11*(1-(1/'Frequency Data'!$A80)^2))^2)*IF(Main!$Q$23,1,0)</f>
        <v>1.0480317360054252</v>
      </c>
      <c r="P80">
        <f>IF(N80=10,0,$O$188)*IF(Main!$Q$23,1,0)*IF($A80&lt;Main!$S$28,1,0)</f>
        <v>1.1260880286363109</v>
      </c>
      <c r="R80">
        <f>IF($A80&gt;Main!Q$29,ABS(S80-$E80),10)</f>
        <v>8.922276490889669E-2</v>
      </c>
      <c r="S80">
        <f>1/SQRT((1-Calculation!$D$21/Calculation!$D$19*((1/'Frequency Data'!$A80)^2-1))^2+(Calculation!$D$3*'Frequency Data'!$A80*Calculation!$D$21/Calculation!$H$11*(1-(1/'Frequency Data'!$A80)^2))^2)*IF(Main!$Q$24,1,0)</f>
        <v>1.0299178188763976</v>
      </c>
      <c r="T80">
        <f>IF(R80=10,0,$O$188)*IF(Main!$Q$23,1,0)*IF($A80&lt;Main!$S$29,1,0)</f>
        <v>1.1260880286363109</v>
      </c>
    </row>
    <row r="81" spans="1:20" x14ac:dyDescent="0.3">
      <c r="A81">
        <v>0.89</v>
      </c>
      <c r="B81" s="48">
        <f>Main!$B$18</f>
        <v>1.171664943123061</v>
      </c>
      <c r="C81">
        <f>1/SQRT((1-Calculation!$B$21/Calculation!$B$19*((1/'Frequency Data'!$A81)^2-1))^2+(Calculation!$B$3*'Frequency Data'!$A81*Calculation!$B$21/Calculation!$B$11*(1-(1/'Frequency Data'!$A81)^2))^2)</f>
        <v>1.020101996723882</v>
      </c>
      <c r="D81">
        <f>1/SQRT((1-Calculation!$D$21/Calculation!$D$19*((1/'Frequency Data'!$A81)^2-1))^2+(Calculation!$D$3*'Frequency Data'!$A81*Calculation!$D$21/Calculation!$D$11*(1-(1/'Frequency Data'!$A81)^2))^2)</f>
        <v>1.0454344668031308</v>
      </c>
      <c r="E81" s="48">
        <f>Main!$B$19</f>
        <v>0.94069505396750086</v>
      </c>
      <c r="F81" s="48"/>
      <c r="G81" s="63">
        <f>IF(A81&lt;Main!$K$23,0,Main!$B$18)*IF(A81&lt;Main!$L$23,1,0)</f>
        <v>1.171664943123061</v>
      </c>
      <c r="H81" s="63">
        <f>IF(A81&lt;Main!$K$24,0,Main!$B$18)*IF(A81&lt;Main!$L$24,1,0)</f>
        <v>1.171664943123061</v>
      </c>
      <c r="J81">
        <f>IF(A81&gt;Main!$K$23,ABS(C81-$E81),10)</f>
        <v>7.940694275638116E-2</v>
      </c>
      <c r="L81">
        <f>IF(A81&gt;Main!$K$23,ABS(D81-E81),10)</f>
        <v>0.10473941283562993</v>
      </c>
      <c r="N81">
        <f>IF($A81&gt;Main!Q$28,ABS(O81-$E81),10)</f>
        <v>0.10318534968198778</v>
      </c>
      <c r="O81">
        <f>1/SQRT((1-Calculation!$D$21/Calculation!$D$19*((1/'Frequency Data'!$A81)^2-1))^2+(Calculation!$D$3*'Frequency Data'!$A81*Calculation!$D$21/Calculation!$G$11*(1-(1/'Frequency Data'!$A81)^2))^2)*IF(Main!$Q$23,1,0)</f>
        <v>1.0438804036494886</v>
      </c>
      <c r="P81">
        <f>IF(N81=10,0,$O$188)*IF(Main!$Q$23,1,0)*IF($A81&lt;Main!$S$28,1,0)</f>
        <v>1.1260880286363109</v>
      </c>
      <c r="R81">
        <f>IF($A81&gt;Main!Q$29,ABS(S81-$E81),10)</f>
        <v>8.8256150553530532E-2</v>
      </c>
      <c r="S81">
        <f>1/SQRT((1-Calculation!$D$21/Calculation!$D$19*((1/'Frequency Data'!$A81)^2-1))^2+(Calculation!$D$3*'Frequency Data'!$A81*Calculation!$D$21/Calculation!$H$11*(1-(1/'Frequency Data'!$A81)^2))^2)*IF(Main!$Q$24,1,0)</f>
        <v>1.0289512045210314</v>
      </c>
      <c r="T81">
        <f>IF(R81=10,0,$O$188)*IF(Main!$Q$23,1,0)*IF($A81&lt;Main!$S$29,1,0)</f>
        <v>1.1260880286363109</v>
      </c>
    </row>
    <row r="82" spans="1:20" x14ac:dyDescent="0.3">
      <c r="A82">
        <v>0.9</v>
      </c>
      <c r="B82" s="48">
        <f>Main!$B$18</f>
        <v>1.171664943123061</v>
      </c>
      <c r="C82">
        <f>1/SQRT((1-Calculation!$B$21/Calculation!$B$19*((1/'Frequency Data'!$A82)^2-1))^2+(Calculation!$B$3*'Frequency Data'!$A82*Calculation!$B$21/Calculation!$B$11*(1-(1/'Frequency Data'!$A82)^2))^2)</f>
        <v>1.018107781957776</v>
      </c>
      <c r="D82">
        <f>1/SQRT((1-Calculation!$D$21/Calculation!$D$19*((1/'Frequency Data'!$A82)^2-1))^2+(Calculation!$D$3*'Frequency Data'!$A82*Calculation!$D$21/Calculation!$D$11*(1-(1/'Frequency Data'!$A82)^2))^2)</f>
        <v>1.0410070197912589</v>
      </c>
      <c r="E82" s="48">
        <f>Main!$B$19</f>
        <v>0.94069505396750086</v>
      </c>
      <c r="F82" s="48"/>
      <c r="G82" s="63">
        <f>IF(A82&lt;Main!$K$23,0,Main!$B$18)*IF(A82&lt;Main!$L$23,1,0)</f>
        <v>1.171664943123061</v>
      </c>
      <c r="H82" s="63">
        <f>IF(A82&lt;Main!$K$24,0,Main!$B$18)*IF(A82&lt;Main!$L$24,1,0)</f>
        <v>1.171664943123061</v>
      </c>
      <c r="J82">
        <f>IF(A82&gt;Main!$K$23,ABS(C82-$E82),10)</f>
        <v>7.7412727990275099E-2</v>
      </c>
      <c r="L82">
        <f>IF(A82&gt;Main!$K$23,ABS(D82-E82),10)</f>
        <v>0.10031196582375801</v>
      </c>
      <c r="N82">
        <f>IF($A82&gt;Main!Q$28,ABS(O82-$E82),10)</f>
        <v>9.9058199780653333E-2</v>
      </c>
      <c r="O82">
        <f>1/SQRT((1-Calculation!$D$21/Calculation!$D$19*((1/'Frequency Data'!$A82)^2-1))^2+(Calculation!$D$3*'Frequency Data'!$A82*Calculation!$D$21/Calculation!$G$11*(1-(1/'Frequency Data'!$A82)^2))^2)*IF(Main!$Q$23,1,0)</f>
        <v>1.0397532537481542</v>
      </c>
      <c r="P82">
        <f>IF(N82=10,0,$O$188)*IF(Main!$Q$23,1,0)*IF($A82&lt;Main!$S$28,1,0)</f>
        <v>1.1260880286363109</v>
      </c>
      <c r="R82">
        <f>IF($A82&gt;Main!Q$29,ABS(S82-$E82),10)</f>
        <v>8.6959699072054364E-2</v>
      </c>
      <c r="S82">
        <f>1/SQRT((1-Calculation!$D$21/Calculation!$D$19*((1/'Frequency Data'!$A82)^2-1))^2+(Calculation!$D$3*'Frequency Data'!$A82*Calculation!$D$21/Calculation!$H$11*(1-(1/'Frequency Data'!$A82)^2))^2)*IF(Main!$Q$24,1,0)</f>
        <v>1.0276547530395552</v>
      </c>
      <c r="T82">
        <f>IF(R82=10,0,$O$188)*IF(Main!$Q$23,1,0)*IF($A82&lt;Main!$S$29,1,0)</f>
        <v>1.1260880286363109</v>
      </c>
    </row>
    <row r="83" spans="1:20" x14ac:dyDescent="0.3">
      <c r="A83">
        <v>0.91</v>
      </c>
      <c r="B83" s="48">
        <f>Main!$B$18</f>
        <v>1.171664943123061</v>
      </c>
      <c r="C83">
        <f>1/SQRT((1-Calculation!$B$21/Calculation!$B$19*((1/'Frequency Data'!$A83)^2-1))^2+(Calculation!$B$3*'Frequency Data'!$A83*Calculation!$B$21/Calculation!$B$11*(1-(1/'Frequency Data'!$A83)^2))^2)</f>
        <v>1.0161517692844748</v>
      </c>
      <c r="D83">
        <f>1/SQRT((1-Calculation!$D$21/Calculation!$D$19*((1/'Frequency Data'!$A83)^2-1))^2+(Calculation!$D$3*'Frequency Data'!$A83*Calculation!$D$21/Calculation!$D$11*(1-(1/'Frequency Data'!$A83)^2))^2)</f>
        <v>1.036643243565343</v>
      </c>
      <c r="E83" s="48">
        <f>Main!$B$19</f>
        <v>0.94069505396750086</v>
      </c>
      <c r="F83" s="48"/>
      <c r="G83" s="63">
        <f>IF(A83&lt;Main!$K$23,0,Main!$B$18)*IF(A83&lt;Main!$L$23,1,0)</f>
        <v>1.171664943123061</v>
      </c>
      <c r="H83" s="63">
        <f>IF(A83&lt;Main!$K$24,0,Main!$B$18)*IF(A83&lt;Main!$L$24,1,0)</f>
        <v>1.171664943123061</v>
      </c>
      <c r="J83">
        <f>IF(A83&gt;Main!$K$23,ABS(C83-$E83),10)</f>
        <v>7.5456715316973955E-2</v>
      </c>
      <c r="L83">
        <f>IF(A83&gt;Main!$K$23,ABS(D83-E83),10)</f>
        <v>9.5948189597842126E-2</v>
      </c>
      <c r="N83">
        <f>IF($A83&gt;Main!Q$28,ABS(O83-$E83),10)</f>
        <v>9.4956554460564502E-2</v>
      </c>
      <c r="O83">
        <f>1/SQRT((1-Calculation!$D$21/Calculation!$D$19*((1/'Frequency Data'!$A83)^2-1))^2+(Calculation!$D$3*'Frequency Data'!$A83*Calculation!$D$21/Calculation!$G$11*(1-(1/'Frequency Data'!$A83)^2))^2)*IF(Main!$Q$23,1,0)</f>
        <v>1.0356516084280654</v>
      </c>
      <c r="P83">
        <f>IF(N83=10,0,$O$188)*IF(Main!$Q$23,1,0)*IF($A83&lt;Main!$S$28,1,0)</f>
        <v>1.1260880286363109</v>
      </c>
      <c r="R83">
        <f>IF($A83&gt;Main!Q$29,ABS(S83-$E83),10)</f>
        <v>8.5349622614207754E-2</v>
      </c>
      <c r="S83">
        <f>1/SQRT((1-Calculation!$D$21/Calculation!$D$19*((1/'Frequency Data'!$A83)^2-1))^2+(Calculation!$D$3*'Frequency Data'!$A83*Calculation!$D$21/Calculation!$H$11*(1-(1/'Frequency Data'!$A83)^2))^2)*IF(Main!$Q$24,1,0)</f>
        <v>1.0260446765817086</v>
      </c>
      <c r="T83">
        <f>IF(R83=10,0,$O$188)*IF(Main!$Q$23,1,0)*IF($A83&lt;Main!$S$29,1,0)</f>
        <v>1.1260880286363109</v>
      </c>
    </row>
    <row r="84" spans="1:20" x14ac:dyDescent="0.3">
      <c r="A84">
        <v>0.92</v>
      </c>
      <c r="B84" s="48">
        <f>Main!$B$18</f>
        <v>1.171664943123061</v>
      </c>
      <c r="C84">
        <f>1/SQRT((1-Calculation!$B$21/Calculation!$B$19*((1/'Frequency Data'!$A84)^2-1))^2+(Calculation!$B$3*'Frequency Data'!$A84*Calculation!$B$21/Calculation!$B$11*(1-(1/'Frequency Data'!$A84)^2))^2)</f>
        <v>1.0142321752413541</v>
      </c>
      <c r="D84">
        <f>1/SQRT((1-Calculation!$D$21/Calculation!$D$19*((1/'Frequency Data'!$A84)^2-1))^2+(Calculation!$D$3*'Frequency Data'!$A84*Calculation!$D$21/Calculation!$D$11*(1-(1/'Frequency Data'!$A84)^2))^2)</f>
        <v>1.0323418029084452</v>
      </c>
      <c r="E84" s="48">
        <f>Main!$B$19</f>
        <v>0.94069505396750086</v>
      </c>
      <c r="F84" s="48"/>
      <c r="G84" s="63">
        <f>IF(A84&lt;Main!$K$23,0,Main!$B$18)*IF(A84&lt;Main!$L$23,1,0)</f>
        <v>1.171664943123061</v>
      </c>
      <c r="H84" s="63">
        <f>IF(A84&lt;Main!$K$24,0,Main!$B$18)*IF(A84&lt;Main!$L$24,1,0)</f>
        <v>1.171664943123061</v>
      </c>
      <c r="J84">
        <f>IF(A84&gt;Main!$K$23,ABS(C84-$E84),10)</f>
        <v>7.3537121273853256E-2</v>
      </c>
      <c r="L84">
        <f>IF(A84&gt;Main!$K$23,ABS(D84-E84),10)</f>
        <v>9.1646748940944378E-2</v>
      </c>
      <c r="N84">
        <f>IF($A84&gt;Main!Q$28,ABS(O84-$E84),10)</f>
        <v>9.0881482479579279E-2</v>
      </c>
      <c r="O84">
        <f>1/SQRT((1-Calculation!$D$21/Calculation!$D$19*((1/'Frequency Data'!$A84)^2-1))^2+(Calculation!$D$3*'Frequency Data'!$A84*Calculation!$D$21/Calculation!$G$11*(1-(1/'Frequency Data'!$A84)^2))^2)*IF(Main!$Q$23,1,0)</f>
        <v>1.0315765364470801</v>
      </c>
      <c r="P84">
        <f>IF(N84=10,0,$O$188)*IF(Main!$Q$23,1,0)*IF($A84&lt;Main!$S$28,1,0)</f>
        <v>1.1260880286363109</v>
      </c>
      <c r="R84">
        <f>IF($A84&gt;Main!Q$29,ABS(S84-$E84),10)</f>
        <v>8.3441982502732936E-2</v>
      </c>
      <c r="S84">
        <f>1/SQRT((1-Calculation!$D$21/Calculation!$D$19*((1/'Frequency Data'!$A84)^2-1))^2+(Calculation!$D$3*'Frequency Data'!$A84*Calculation!$D$21/Calculation!$H$11*(1-(1/'Frequency Data'!$A84)^2))^2)*IF(Main!$Q$24,1,0)</f>
        <v>1.0241370364702338</v>
      </c>
      <c r="T84">
        <f>IF(R84=10,0,$O$188)*IF(Main!$Q$23,1,0)*IF($A84&lt;Main!$S$29,1,0)</f>
        <v>1.1260880286363109</v>
      </c>
    </row>
    <row r="85" spans="1:20" x14ac:dyDescent="0.3">
      <c r="A85">
        <v>0.93</v>
      </c>
      <c r="B85" s="48">
        <f>Main!$B$18</f>
        <v>1.171664943123061</v>
      </c>
      <c r="C85">
        <f>1/SQRT((1-Calculation!$B$21/Calculation!$B$19*((1/'Frequency Data'!$A85)^2-1))^2+(Calculation!$B$3*'Frequency Data'!$A85*Calculation!$B$21/Calculation!$B$11*(1-(1/'Frequency Data'!$A85)^2))^2)</f>
        <v>1.0123473062661703</v>
      </c>
      <c r="D85">
        <f>1/SQRT((1-Calculation!$D$21/Calculation!$D$19*((1/'Frequency Data'!$A85)^2-1))^2+(Calculation!$D$3*'Frequency Data'!$A85*Calculation!$D$21/Calculation!$D$11*(1-(1/'Frequency Data'!$A85)^2))^2)</f>
        <v>1.0281012974115638</v>
      </c>
      <c r="E85" s="48">
        <f>Main!$B$19</f>
        <v>0.94069505396750086</v>
      </c>
      <c r="F85" s="48"/>
      <c r="G85" s="63">
        <f>IF(A85&lt;Main!$K$23,0,Main!$B$18)*IF(A85&lt;Main!$L$23,1,0)</f>
        <v>1.171664943123061</v>
      </c>
      <c r="H85" s="63">
        <f>IF(A85&lt;Main!$K$24,0,Main!$B$18)*IF(A85&lt;Main!$L$24,1,0)</f>
        <v>1.171664943123061</v>
      </c>
      <c r="J85">
        <f>IF(A85&gt;Main!$K$23,ABS(C85-$E85),10)</f>
        <v>7.165225229866945E-2</v>
      </c>
      <c r="L85">
        <f>IF(A85&gt;Main!$K$23,ABS(D85-E85),10)</f>
        <v>8.7406243444062892E-2</v>
      </c>
      <c r="N85">
        <f>IF($A85&gt;Main!Q$28,ABS(O85-$E85),10)</f>
        <v>8.683383216294438E-2</v>
      </c>
      <c r="O85">
        <f>1/SQRT((1-Calculation!$D$21/Calculation!$D$19*((1/'Frequency Data'!$A85)^2-1))^2+(Calculation!$D$3*'Frequency Data'!$A85*Calculation!$D$21/Calculation!$G$11*(1-(1/'Frequency Data'!$A85)^2))^2)*IF(Main!$Q$23,1,0)</f>
        <v>1.0275288861304452</v>
      </c>
      <c r="P85">
        <f>IF(N85=10,0,$O$188)*IF(Main!$Q$23,1,0)*IF($A85&lt;Main!$S$28,1,0)</f>
        <v>1.1260880286363109</v>
      </c>
      <c r="R85">
        <f>IF($A85&gt;Main!Q$29,ABS(S85-$E85),10)</f>
        <v>8.1252629812949562E-2</v>
      </c>
      <c r="S85">
        <f>1/SQRT((1-Calculation!$D$21/Calculation!$D$19*((1/'Frequency Data'!$A85)^2-1))^2+(Calculation!$D$3*'Frequency Data'!$A85*Calculation!$D$21/Calculation!$H$11*(1-(1/'Frequency Data'!$A85)^2))^2)*IF(Main!$Q$24,1,0)</f>
        <v>1.0219476837804504</v>
      </c>
      <c r="T85">
        <f>IF(R85=10,0,$O$188)*IF(Main!$Q$23,1,0)*IF($A85&lt;Main!$S$29,1,0)</f>
        <v>1.1260880286363109</v>
      </c>
    </row>
    <row r="86" spans="1:20" x14ac:dyDescent="0.3">
      <c r="A86">
        <v>0.94</v>
      </c>
      <c r="B86" s="48">
        <f>Main!$B$18</f>
        <v>1.171664943123061</v>
      </c>
      <c r="C86">
        <f>1/SQRT((1-Calculation!$B$21/Calculation!$B$19*((1/'Frequency Data'!$A86)^2-1))^2+(Calculation!$B$3*'Frequency Data'!$A86*Calculation!$B$21/Calculation!$B$11*(1-(1/'Frequency Data'!$A86)^2))^2)</f>
        <v>1.0104955537922791</v>
      </c>
      <c r="D86">
        <f>1/SQRT((1-Calculation!$D$21/Calculation!$D$19*((1/'Frequency Data'!$A86)^2-1))^2+(Calculation!$D$3*'Frequency Data'!$A86*Calculation!$D$21/Calculation!$D$11*(1-(1/'Frequency Data'!$A86)^2))^2)</f>
        <v>1.023920280092546</v>
      </c>
      <c r="E86" s="48">
        <f>Main!$B$19</f>
        <v>0.94069505396750086</v>
      </c>
      <c r="F86" s="48"/>
      <c r="G86" s="63">
        <f>IF(A86&lt;Main!$K$23,0,Main!$B$18)*IF(A86&lt;Main!$L$23,1,0)</f>
        <v>1.171664943123061</v>
      </c>
      <c r="H86" s="63">
        <f>IF(A86&lt;Main!$K$24,0,Main!$B$18)*IF(A86&lt;Main!$L$24,1,0)</f>
        <v>1.171664943123061</v>
      </c>
      <c r="J86">
        <f>IF(A86&gt;Main!$K$23,ABS(C86-$E86),10)</f>
        <v>6.9800499824778206E-2</v>
      </c>
      <c r="L86">
        <f>IF(A86&gt;Main!$K$23,ABS(D86-E86),10)</f>
        <v>8.3225226125045126E-2</v>
      </c>
      <c r="N86">
        <f>IF($A86&gt;Main!Q$28,ABS(O86-$E86),10)</f>
        <v>8.2814260364154069E-2</v>
      </c>
      <c r="O86">
        <f>1/SQRT((1-Calculation!$D$21/Calculation!$D$19*((1/'Frequency Data'!$A86)^2-1))^2+(Calculation!$D$3*'Frequency Data'!$A86*Calculation!$D$21/Calculation!$G$11*(1-(1/'Frequency Data'!$A86)^2))^2)*IF(Main!$Q$23,1,0)</f>
        <v>1.0235093143316549</v>
      </c>
      <c r="P86">
        <f>IF(N86=10,0,$O$188)*IF(Main!$Q$23,1,0)*IF($A86&lt;Main!$S$28,1,0)</f>
        <v>1.1260880286363109</v>
      </c>
      <c r="R86">
        <f>IF($A86&gt;Main!Q$29,ABS(S86-$E86),10)</f>
        <v>7.8797152430399309E-2</v>
      </c>
      <c r="S86">
        <f>1/SQRT((1-Calculation!$D$21/Calculation!$D$19*((1/'Frequency Data'!$A86)^2-1))^2+(Calculation!$D$3*'Frequency Data'!$A86*Calculation!$D$21/Calculation!$H$11*(1-(1/'Frequency Data'!$A86)^2))^2)*IF(Main!$Q$24,1,0)</f>
        <v>1.0194922063979002</v>
      </c>
      <c r="T86">
        <f>IF(R86=10,0,$O$188)*IF(Main!$Q$23,1,0)*IF($A86&lt;Main!$S$29,1,0)</f>
        <v>1.1260880286363109</v>
      </c>
    </row>
    <row r="87" spans="1:20" x14ac:dyDescent="0.3">
      <c r="A87">
        <v>0.95</v>
      </c>
      <c r="B87" s="48">
        <f>Main!$B$18</f>
        <v>1.171664943123061</v>
      </c>
      <c r="C87">
        <f>1/SQRT((1-Calculation!$B$21/Calculation!$B$19*((1/'Frequency Data'!$A87)^2-1))^2+(Calculation!$B$3*'Frequency Data'!$A87*Calculation!$B$21/Calculation!$B$11*(1-(1/'Frequency Data'!$A87)^2))^2)</f>
        <v>1.0086753896137333</v>
      </c>
      <c r="D87">
        <f>1/SQRT((1-Calculation!$D$21/Calculation!$D$19*((1/'Frequency Data'!$A87)^2-1))^2+(Calculation!$D$3*'Frequency Data'!$A87*Calculation!$D$21/Calculation!$D$11*(1-(1/'Frequency Data'!$A87)^2))^2)</f>
        <v>1.0197972730959972</v>
      </c>
      <c r="E87" s="48">
        <f>Main!$B$19</f>
        <v>0.94069505396750086</v>
      </c>
      <c r="F87" s="48"/>
      <c r="G87" s="63">
        <f>IF(A87&lt;Main!$K$23,0,Main!$B$18)*IF(A87&lt;Main!$L$23,1,0)</f>
        <v>1.171664943123061</v>
      </c>
      <c r="H87" s="63">
        <f>IF(A87&lt;Main!$K$24,0,Main!$B$18)*IF(A87&lt;Main!$L$24,1,0)</f>
        <v>1.171664943123061</v>
      </c>
      <c r="J87">
        <f>IF(A87&gt;Main!$K$23,ABS(C87-$E87),10)</f>
        <v>6.7980335646232404E-2</v>
      </c>
      <c r="L87">
        <f>IF(A87&gt;Main!$K$23,ABS(D87-E87),10)</f>
        <v>7.9102219128496354E-2</v>
      </c>
      <c r="N87">
        <f>IF($A87&gt;Main!Q$28,ABS(O87-$E87),10)</f>
        <v>7.8823257922368994E-2</v>
      </c>
      <c r="O87">
        <f>1/SQRT((1-Calculation!$D$21/Calculation!$D$19*((1/'Frequency Data'!$A87)^2-1))^2+(Calculation!$D$3*'Frequency Data'!$A87*Calculation!$D$21/Calculation!$G$11*(1-(1/'Frequency Data'!$A87)^2))^2)*IF(Main!$Q$23,1,0)</f>
        <v>1.0195183118898699</v>
      </c>
      <c r="P87">
        <f>IF(N87=10,0,$O$188)*IF(Main!$Q$23,1,0)*IF($A87&lt;Main!$S$28,1,0)</f>
        <v>1.1260880286363109</v>
      </c>
      <c r="R87">
        <f>IF($A87&gt;Main!Q$29,ABS(S87-$E87),10)</f>
        <v>7.6090828456212845E-2</v>
      </c>
      <c r="S87">
        <f>1/SQRT((1-Calculation!$D$21/Calculation!$D$19*((1/'Frequency Data'!$A87)^2-1))^2+(Calculation!$D$3*'Frequency Data'!$A87*Calculation!$D$21/Calculation!$H$11*(1-(1/'Frequency Data'!$A87)^2))^2)*IF(Main!$Q$24,1,0)</f>
        <v>1.0167858824237137</v>
      </c>
      <c r="T87">
        <f>IF(R87=10,0,$O$188)*IF(Main!$Q$23,1,0)*IF($A87&lt;Main!$S$29,1,0)</f>
        <v>1.1260880286363109</v>
      </c>
    </row>
    <row r="88" spans="1:20" x14ac:dyDescent="0.3">
      <c r="A88">
        <v>0.96</v>
      </c>
      <c r="B88" s="48">
        <f>Main!$B$18</f>
        <v>1.171664943123061</v>
      </c>
      <c r="C88">
        <f>1/SQRT((1-Calculation!$B$21/Calculation!$B$19*((1/'Frequency Data'!$A88)^2-1))^2+(Calculation!$B$3*'Frequency Data'!$A88*Calculation!$B$21/Calculation!$B$11*(1-(1/'Frequency Data'!$A88)^2))^2)</f>
        <v>1.0068853615086617</v>
      </c>
      <c r="D88">
        <f>1/SQRT((1-Calculation!$D$21/Calculation!$D$19*((1/'Frequency Data'!$A88)^2-1))^2+(Calculation!$D$3*'Frequency Data'!$A88*Calculation!$D$21/Calculation!$D$11*(1-(1/'Frequency Data'!$A88)^2))^2)</f>
        <v>1.0157307808895795</v>
      </c>
      <c r="E88" s="48">
        <f>Main!$B$19</f>
        <v>0.94069505396750086</v>
      </c>
      <c r="F88" s="48"/>
      <c r="G88" s="63">
        <f>IF(A88&lt;Main!$K$23,0,Main!$B$18)*IF(A88&lt;Main!$L$23,1,0)</f>
        <v>1.171664943123061</v>
      </c>
      <c r="H88" s="63">
        <f>IF(A88&lt;Main!$K$24,0,Main!$B$18)*IF(A88&lt;Main!$L$24,1,0)</f>
        <v>1.171664943123061</v>
      </c>
      <c r="J88">
        <f>IF(A88&gt;Main!$K$23,ABS(C88-$E88),10)</f>
        <v>6.6190307541160842E-2</v>
      </c>
      <c r="L88">
        <f>IF(A88&gt;Main!$K$23,ABS(D88-E88),10)</f>
        <v>7.5035726922078605E-2</v>
      </c>
      <c r="N88">
        <f>IF($A88&gt;Main!Q$28,ABS(O88-$E88),10)</f>
        <v>7.4861172033006906E-2</v>
      </c>
      <c r="O88">
        <f>1/SQRT((1-Calculation!$D$21/Calculation!$D$19*((1/'Frequency Data'!$A88)^2-1))^2+(Calculation!$D$3*'Frequency Data'!$A88*Calculation!$D$21/Calculation!$G$11*(1-(1/'Frequency Data'!$A88)^2))^2)*IF(Main!$Q$23,1,0)</f>
        <v>1.0155562260005078</v>
      </c>
      <c r="P88">
        <f>IF(N88=10,0,$O$188)*IF(Main!$Q$23,1,0)*IF($A88&lt;Main!$S$28,1,0)</f>
        <v>1.1260880286363109</v>
      </c>
      <c r="R88">
        <f>IF($A88&gt;Main!Q$29,ABS(S88-$E88),10)</f>
        <v>7.314858576098382E-2</v>
      </c>
      <c r="S88">
        <f>1/SQRT((1-Calculation!$D$21/Calculation!$D$19*((1/'Frequency Data'!$A88)^2-1))^2+(Calculation!$D$3*'Frequency Data'!$A88*Calculation!$D$21/Calculation!$H$11*(1-(1/'Frequency Data'!$A88)^2))^2)*IF(Main!$Q$24,1,0)</f>
        <v>1.0138436397284847</v>
      </c>
      <c r="T88">
        <f>IF(R88=10,0,$O$188)*IF(Main!$Q$23,1,0)*IF($A88&lt;Main!$S$29,1,0)</f>
        <v>1.1260880286363109</v>
      </c>
    </row>
    <row r="89" spans="1:20" x14ac:dyDescent="0.3">
      <c r="A89">
        <v>0.97</v>
      </c>
      <c r="B89" s="48">
        <f>Main!$B$18</f>
        <v>1.171664943123061</v>
      </c>
      <c r="C89">
        <f>1/SQRT((1-Calculation!$B$21/Calculation!$B$19*((1/'Frequency Data'!$A89)^2-1))^2+(Calculation!$B$3*'Frequency Data'!$A89*Calculation!$B$21/Calculation!$B$11*(1-(1/'Frequency Data'!$A89)^2))^2)</f>
        <v>1.005124089109009</v>
      </c>
      <c r="D89">
        <f>1/SQRT((1-Calculation!$D$21/Calculation!$D$19*((1/'Frequency Data'!$A89)^2-1))^2+(Calculation!$D$3*'Frequency Data'!$A89*Calculation!$D$21/Calculation!$D$11*(1-(1/'Frequency Data'!$A89)^2))^2)</f>
        <v>1.0117193013139256</v>
      </c>
      <c r="E89" s="48">
        <f>Main!$B$19</f>
        <v>0.94069505396750086</v>
      </c>
      <c r="F89" s="48"/>
      <c r="G89" s="63">
        <f>IF(A89&lt;Main!$K$23,0,Main!$B$18)*IF(A89&lt;Main!$L$23,1,0)</f>
        <v>1.171664943123061</v>
      </c>
      <c r="H89" s="63">
        <f>IF(A89&lt;Main!$K$24,0,Main!$B$18)*IF(A89&lt;Main!$L$24,1,0)</f>
        <v>1.171664943123061</v>
      </c>
      <c r="J89">
        <f>IF(A89&gt;Main!$K$23,ABS(C89-$E89),10)</f>
        <v>6.4429035141508106E-2</v>
      </c>
      <c r="L89">
        <f>IF(A89&gt;Main!$K$23,ABS(D89-E89),10)</f>
        <v>7.1024247346424763E-2</v>
      </c>
      <c r="N89">
        <f>IF($A89&gt;Main!Q$28,ABS(O89-$E89),10)</f>
        <v>7.0928225899027919E-2</v>
      </c>
      <c r="O89">
        <f>1/SQRT((1-Calculation!$D$21/Calculation!$D$19*((1/'Frequency Data'!$A89)^2-1))^2+(Calculation!$D$3*'Frequency Data'!$A89*Calculation!$D$21/Calculation!$G$11*(1-(1/'Frequency Data'!$A89)^2))^2)*IF(Main!$Q$23,1,0)</f>
        <v>1.0116232798665288</v>
      </c>
      <c r="P89">
        <f>IF(N89=10,0,$O$188)*IF(Main!$Q$23,1,0)*IF($A89&lt;Main!$S$28,1,0)</f>
        <v>1.1260880286363109</v>
      </c>
      <c r="R89">
        <f>IF($A89&gt;Main!Q$29,ABS(S89-$E89),10)</f>
        <v>6.9984967431531264E-2</v>
      </c>
      <c r="S89">
        <f>1/SQRT((1-Calculation!$D$21/Calculation!$D$19*((1/'Frequency Data'!$A89)^2-1))^2+(Calculation!$D$3*'Frequency Data'!$A89*Calculation!$D$21/Calculation!$H$11*(1-(1/'Frequency Data'!$A89)^2))^2)*IF(Main!$Q$24,1,0)</f>
        <v>1.0106800213990321</v>
      </c>
      <c r="T89">
        <f>IF(R89=10,0,$O$188)*IF(Main!$Q$23,1,0)*IF($A89&lt;Main!$S$29,1,0)</f>
        <v>1.1260880286363109</v>
      </c>
    </row>
    <row r="90" spans="1:20" x14ac:dyDescent="0.3">
      <c r="A90">
        <v>0.98</v>
      </c>
      <c r="B90" s="48">
        <f>Main!$B$18</f>
        <v>1.171664943123061</v>
      </c>
      <c r="C90">
        <f>1/SQRT((1-Calculation!$B$21/Calculation!$B$19*((1/'Frequency Data'!$A90)^2-1))^2+(Calculation!$B$3*'Frequency Data'!$A90*Calculation!$B$21/Calculation!$B$11*(1-(1/'Frequency Data'!$A90)^2))^2)</f>
        <v>1.0033902600046176</v>
      </c>
      <c r="D90">
        <f>1/SQRT((1-Calculation!$D$21/Calculation!$D$19*((1/'Frequency Data'!$A90)^2-1))^2+(Calculation!$D$3*'Frequency Data'!$A90*Calculation!$D$21/Calculation!$D$11*(1-(1/'Frequency Data'!$A90)^2))^2)</f>
        <v>1.00776133479337</v>
      </c>
      <c r="E90" s="48">
        <f>Main!$B$19</f>
        <v>0.94069505396750086</v>
      </c>
      <c r="F90" s="48"/>
      <c r="G90" s="63">
        <f>IF(A90&lt;Main!$K$23,0,Main!$B$18)*IF(A90&lt;Main!$L$23,1,0)</f>
        <v>1.171664943123061</v>
      </c>
      <c r="H90" s="63">
        <f>IF(A90&lt;Main!$K$24,0,Main!$B$18)*IF(A90&lt;Main!$L$24,1,0)</f>
        <v>1.171664943123061</v>
      </c>
      <c r="J90">
        <f>IF(A90&gt;Main!$K$23,ABS(C90-$E90),10)</f>
        <v>6.2695206037116757E-2</v>
      </c>
      <c r="L90">
        <f>IF(A90&gt;Main!$K$23,ABS(D90-E90),10)</f>
        <v>6.7066280825869184E-2</v>
      </c>
      <c r="N90">
        <f>IF($A90&gt;Main!Q$28,ABS(O90-$E90),10)</f>
        <v>6.7024535986960898E-2</v>
      </c>
      <c r="O90">
        <f>1/SQRT((1-Calculation!$D$21/Calculation!$D$19*((1/'Frequency Data'!$A90)^2-1))^2+(Calculation!$D$3*'Frequency Data'!$A90*Calculation!$D$21/Calculation!$G$11*(1-(1/'Frequency Data'!$A90)^2))^2)*IF(Main!$Q$23,1,0)</f>
        <v>1.0077195899544618</v>
      </c>
      <c r="P90">
        <f>IF(N90=10,0,$O$188)*IF(Main!$Q$23,1,0)*IF($A90&lt;Main!$S$28,1,0)</f>
        <v>1.1260880286363109</v>
      </c>
      <c r="R90">
        <f>IF($A90&gt;Main!Q$29,ABS(S90-$E90),10)</f>
        <v>6.6614102810340303E-2</v>
      </c>
      <c r="S90">
        <f>1/SQRT((1-Calculation!$D$21/Calculation!$D$19*((1/'Frequency Data'!$A90)^2-1))^2+(Calculation!$D$3*'Frequency Data'!$A90*Calculation!$D$21/Calculation!$H$11*(1-(1/'Frequency Data'!$A90)^2))^2)*IF(Main!$Q$24,1,0)</f>
        <v>1.0073091567778412</v>
      </c>
      <c r="T90">
        <f>IF(R90=10,0,$O$188)*IF(Main!$Q$23,1,0)*IF($A90&lt;Main!$S$29,1,0)</f>
        <v>1.1260880286363109</v>
      </c>
    </row>
    <row r="91" spans="1:20" x14ac:dyDescent="0.3">
      <c r="A91">
        <v>0.99</v>
      </c>
      <c r="B91" s="48">
        <f>Main!$B$18</f>
        <v>1.171664943123061</v>
      </c>
      <c r="C91">
        <f>1/SQRT((1-Calculation!$B$21/Calculation!$B$19*((1/'Frequency Data'!$A91)^2-1))^2+(Calculation!$B$3*'Frequency Data'!$A91*Calculation!$B$21/Calculation!$B$11*(1-(1/'Frequency Data'!$A91)^2))^2)</f>
        <v>1.0016826260697054</v>
      </c>
      <c r="D91">
        <f>1/SQRT((1-Calculation!$D$21/Calculation!$D$19*((1/'Frequency Data'!$A91)^2-1))^2+(Calculation!$D$3*'Frequency Data'!$A91*Calculation!$D$21/Calculation!$D$11*(1-(1/'Frequency Data'!$A91)^2))^2)</f>
        <v>1.0038553919716802</v>
      </c>
      <c r="E91" s="48">
        <f>Main!$B$19</f>
        <v>0.94069505396750086</v>
      </c>
      <c r="F91" s="48"/>
      <c r="G91" s="63">
        <f>IF(A91&lt;Main!$K$23,0,Main!$B$18)*IF(A91&lt;Main!$L$23,1,0)</f>
        <v>1.171664943123061</v>
      </c>
      <c r="H91" s="63">
        <f>IF(A91&lt;Main!$K$24,0,Main!$B$18)*IF(A91&lt;Main!$L$24,1,0)</f>
        <v>1.171664943123061</v>
      </c>
      <c r="J91">
        <f>IF(A91&gt;Main!$K$23,ABS(C91-$E91),10)</f>
        <v>6.0987572102204513E-2</v>
      </c>
      <c r="L91">
        <f>IF(A91&gt;Main!$K$23,ABS(D91-E91),10)</f>
        <v>6.3160338004179306E-2</v>
      </c>
      <c r="N91">
        <f>IF($A91&gt;Main!Q$28,ABS(O91-$E91),10)</f>
        <v>6.3150127173247861E-2</v>
      </c>
      <c r="O91">
        <f>1/SQRT((1-Calculation!$D$21/Calculation!$D$19*((1/'Frequency Data'!$A91)^2-1))^2+(Calculation!$D$3*'Frequency Data'!$A91*Calculation!$D$21/Calculation!$G$11*(1-(1/'Frequency Data'!$A91)^2))^2)*IF(Main!$Q$23,1,0)</f>
        <v>1.0038451811407487</v>
      </c>
      <c r="P91">
        <f>IF(N91=10,0,$O$188)*IF(Main!$Q$23,1,0)*IF($A91&lt;Main!$S$28,1,0)</f>
        <v>1.1260880286363109</v>
      </c>
      <c r="R91">
        <f>IF($A91&gt;Main!Q$29,ABS(S91-$E91),10)</f>
        <v>6.3049683793891087E-2</v>
      </c>
      <c r="S91">
        <f>1/SQRT((1-Calculation!$D$21/Calculation!$D$19*((1/'Frequency Data'!$A91)^2-1))^2+(Calculation!$D$3*'Frequency Data'!$A91*Calculation!$D$21/Calculation!$H$11*(1-(1/'Frequency Data'!$A91)^2))^2)*IF(Main!$Q$24,1,0)</f>
        <v>1.0037447377613919</v>
      </c>
      <c r="T91">
        <f>IF(R91=10,0,$O$188)*IF(Main!$Q$23,1,0)*IF($A91&lt;Main!$S$29,1,0)</f>
        <v>1.1260880286363109</v>
      </c>
    </row>
    <row r="92" spans="1:20" x14ac:dyDescent="0.3">
      <c r="A92">
        <v>1</v>
      </c>
      <c r="B92" s="48">
        <f>Main!$B$18</f>
        <v>1.171664943123061</v>
      </c>
      <c r="C92">
        <f>1/SQRT((1-Calculation!$B$21/Calculation!$B$19*((1/'Frequency Data'!$A92)^2-1))^2+(Calculation!$B$3*'Frequency Data'!$A92*Calculation!$B$21/Calculation!$B$11*(1-(1/'Frequency Data'!$A92)^2))^2)</f>
        <v>1</v>
      </c>
      <c r="D92">
        <f>1/SQRT((1-Calculation!$D$21/Calculation!$D$19*((1/'Frequency Data'!$A92)^2-1))^2+(Calculation!$D$3*'Frequency Data'!$A92*Calculation!$D$21/Calculation!$D$11*(1-(1/'Frequency Data'!$A92)^2))^2)</f>
        <v>1</v>
      </c>
      <c r="E92" s="48">
        <f>Main!$B$19</f>
        <v>0.94069505396750086</v>
      </c>
      <c r="F92" s="48"/>
      <c r="G92" s="63">
        <f>IF(A92&lt;Main!$K$23,0,Main!$B$18)*IF(A92&lt;Main!$L$23,1,0)</f>
        <v>1.171664943123061</v>
      </c>
      <c r="H92" s="63">
        <f>IF(A92&lt;Main!$K$24,0,Main!$B$18)*IF(A92&lt;Main!$L$24,1,0)</f>
        <v>1.171664943123061</v>
      </c>
      <c r="J92">
        <f>IF(A92&gt;Main!$K$23,ABS(C92-$E92),10)</f>
        <v>5.930494603249914E-2</v>
      </c>
      <c r="L92">
        <f>IF(A92&gt;Main!$K$23,ABS(D92-E92),10)</f>
        <v>5.930494603249914E-2</v>
      </c>
      <c r="N92">
        <f>IF($A92&gt;Main!Q$28,ABS(O92-$E92),10)</f>
        <v>5.930494603249914E-2</v>
      </c>
      <c r="O92">
        <f>1/SQRT((1-Calculation!$D$21/Calculation!$D$19*((1/'Frequency Data'!$A92)^2-1))^2+(Calculation!$D$3*'Frequency Data'!$A92*Calculation!$D$21/Calculation!$G$11*(1-(1/'Frequency Data'!$A92)^2))^2)*IF(Main!$Q$23,1,0)</f>
        <v>1</v>
      </c>
      <c r="P92">
        <f>IF(N92=10,0,$O$188)*IF(Main!$Q$23,1,0)*IF($A92&lt;Main!$S$28,1,0)</f>
        <v>1.1260880286363109</v>
      </c>
      <c r="R92">
        <f>IF($A92&gt;Main!Q$29,ABS(S92-$E92),10)</f>
        <v>5.930494603249914E-2</v>
      </c>
      <c r="S92">
        <f>1/SQRT((1-Calculation!$D$21/Calculation!$D$19*((1/'Frequency Data'!$A92)^2-1))^2+(Calculation!$D$3*'Frequency Data'!$A92*Calculation!$D$21/Calculation!$H$11*(1-(1/'Frequency Data'!$A92)^2))^2)*IF(Main!$Q$24,1,0)</f>
        <v>1</v>
      </c>
      <c r="T92">
        <f>IF(R92=10,0,$O$188)*IF(Main!$Q$23,1,0)*IF($A92&lt;Main!$S$29,1,0)</f>
        <v>1.1260880286363109</v>
      </c>
    </row>
    <row r="93" spans="1:20" x14ac:dyDescent="0.3">
      <c r="A93">
        <v>1.1000000000000001</v>
      </c>
      <c r="B93" s="48">
        <f>Main!$B$18</f>
        <v>1.171664943123061</v>
      </c>
      <c r="C93">
        <f>1/SQRT((1-Calculation!$B$21/Calculation!$B$19*((1/'Frequency Data'!$A93)^2-1))^2+(Calculation!$B$3*'Frequency Data'!$A93*Calculation!$B$21/Calculation!$B$11*(1-(1/'Frequency Data'!$A93)^2))^2)</f>
        <v>0.98432544826930357</v>
      </c>
      <c r="D93">
        <f>1/SQRT((1-Calculation!$D$21/Calculation!$D$19*((1/'Frequency Data'!$A93)^2-1))^2+(Calculation!$D$3*'Frequency Data'!$A93*Calculation!$D$21/Calculation!$D$11*(1-(1/'Frequency Data'!$A93)^2))^2)</f>
        <v>0.96392191940185379</v>
      </c>
      <c r="E93" s="48">
        <f>Main!$B$19</f>
        <v>0.94069505396750086</v>
      </c>
      <c r="F93" s="48"/>
      <c r="G93" s="63">
        <f>IF(A93&lt;Main!$K$23,0,Main!$B$18)*IF(A93&lt;Main!$L$23,1,0)</f>
        <v>1.171664943123061</v>
      </c>
      <c r="H93" s="63">
        <f>IF(A93&lt;Main!$K$24,0,Main!$B$18)*IF(A93&lt;Main!$L$24,1,0)</f>
        <v>1.171664943123061</v>
      </c>
      <c r="J93">
        <f>IF(A93&gt;Main!$K$23,ABS(C93-$E93),10)</f>
        <v>4.3630394301802711E-2</v>
      </c>
      <c r="L93">
        <f>IF(A93&gt;Main!$K$23,ABS(D93-E93),10)</f>
        <v>2.3226865434352928E-2</v>
      </c>
      <c r="N93">
        <f>IF($A93&gt;Main!Q$28,ABS(O93-$E93),10)</f>
        <v>2.2412448878537439E-2</v>
      </c>
      <c r="O93">
        <f>1/SQRT((1-Calculation!$D$21/Calculation!$D$19*((1/'Frequency Data'!$A93)^2-1))^2+(Calculation!$D$3*'Frequency Data'!$A93*Calculation!$D$21/Calculation!$G$11*(1-(1/'Frequency Data'!$A93)^2))^2)*IF(Main!$Q$23,1,0)</f>
        <v>0.9631075028460383</v>
      </c>
      <c r="P93">
        <f>IF(N93=10,0,$O$188)*IF(Main!$Q$23,1,0)*IF($A93&lt;Main!$S$28,1,0)</f>
        <v>1.1260880286363109</v>
      </c>
      <c r="R93">
        <f>IF($A93&gt;Main!Q$29,ABS(S93-$E93),10)</f>
        <v>1.4508284706430841E-2</v>
      </c>
      <c r="S93">
        <f>1/SQRT((1-Calculation!$D$21/Calculation!$D$19*((1/'Frequency Data'!$A93)^2-1))^2+(Calculation!$D$3*'Frequency Data'!$A93*Calculation!$D$21/Calculation!$H$11*(1-(1/'Frequency Data'!$A93)^2))^2)*IF(Main!$Q$24,1,0)</f>
        <v>0.9552033386739317</v>
      </c>
      <c r="T93">
        <f>IF(R93=10,0,$O$188)*IF(Main!$Q$23,1,0)*IF($A93&lt;Main!$S$29,1,0)</f>
        <v>0</v>
      </c>
    </row>
    <row r="94" spans="1:20" x14ac:dyDescent="0.3">
      <c r="A94">
        <v>1.2</v>
      </c>
      <c r="B94" s="48">
        <f>Main!$B$18</f>
        <v>1.171664943123061</v>
      </c>
      <c r="C94">
        <f>1/SQRT((1-Calculation!$B$21/Calculation!$B$19*((1/'Frequency Data'!$A94)^2-1))^2+(Calculation!$B$3*'Frequency Data'!$A94*Calculation!$B$21/Calculation!$B$11*(1-(1/'Frequency Data'!$A94)^2))^2)</f>
        <v>0.97019251014198338</v>
      </c>
      <c r="D94">
        <f>1/SQRT((1-Calculation!$D$21/Calculation!$D$19*((1/'Frequency Data'!$A94)^2-1))^2+(Calculation!$D$3*'Frequency Data'!$A94*Calculation!$D$21/Calculation!$D$11*(1-(1/'Frequency Data'!$A94)^2))^2)</f>
        <v>0.93150982874753041</v>
      </c>
      <c r="E94" s="48">
        <f>Main!$B$19</f>
        <v>0.94069505396750086</v>
      </c>
      <c r="F94" s="48"/>
      <c r="G94" s="63">
        <f>IF(A94&lt;Main!$K$23,0,Main!$B$18)*IF(A94&lt;Main!$L$23,1,0)</f>
        <v>1.171664943123061</v>
      </c>
      <c r="H94" s="63">
        <f>IF(A94&lt;Main!$K$24,0,Main!$B$18)*IF(A94&lt;Main!$L$24,1,0)</f>
        <v>0</v>
      </c>
      <c r="J94">
        <f>IF(A94&gt;Main!$K$23,ABS(C94-$E94),10)</f>
        <v>2.9497456174482517E-2</v>
      </c>
      <c r="L94">
        <f>IF(A94&gt;Main!$K$23,ABS(D94-E94),10)</f>
        <v>9.1852252199704498E-3</v>
      </c>
      <c r="N94">
        <f>IF($A94&gt;Main!Q$28,ABS(O94-$E94),10)</f>
        <v>1.1888126684183375E-2</v>
      </c>
      <c r="O94">
        <f>1/SQRT((1-Calculation!$D$21/Calculation!$D$19*((1/'Frequency Data'!$A94)^2-1))^2+(Calculation!$D$3*'Frequency Data'!$A94*Calculation!$D$21/Calculation!$G$11*(1-(1/'Frequency Data'!$A94)^2))^2)*IF(Main!$Q$23,1,0)</f>
        <v>0.92880692728331748</v>
      </c>
      <c r="P94">
        <f>IF(N94=10,0,$O$188)*IF(Main!$Q$23,1,0)*IF($A94&lt;Main!$S$28,1,0)</f>
        <v>0</v>
      </c>
      <c r="R94">
        <f>IF($A94&gt;Main!Q$29,ABS(S94-$E94),10)</f>
        <v>3.7284268069735949E-2</v>
      </c>
      <c r="S94">
        <f>1/SQRT((1-Calculation!$D$21/Calculation!$D$19*((1/'Frequency Data'!$A94)^2-1))^2+(Calculation!$D$3*'Frequency Data'!$A94*Calculation!$D$21/Calculation!$H$11*(1-(1/'Frequency Data'!$A94)^2))^2)*IF(Main!$Q$24,1,0)</f>
        <v>0.90341078589776491</v>
      </c>
      <c r="T94">
        <f>IF(R94=10,0,$O$188)*IF(Main!$Q$23,1,0)*IF($A94&lt;Main!$S$29,1,0)</f>
        <v>0</v>
      </c>
    </row>
    <row r="95" spans="1:20" x14ac:dyDescent="0.3">
      <c r="A95">
        <v>1.3</v>
      </c>
      <c r="B95" s="48">
        <f>Main!$B$18</f>
        <v>1.171664943123061</v>
      </c>
      <c r="C95">
        <f>1/SQRT((1-Calculation!$B$21/Calculation!$B$19*((1/'Frequency Data'!$A95)^2-1))^2+(Calculation!$B$3*'Frequency Data'!$A95*Calculation!$B$21/Calculation!$B$11*(1-(1/'Frequency Data'!$A95)^2))^2)</f>
        <v>0.95704545939898245</v>
      </c>
      <c r="D95">
        <f>1/SQRT((1-Calculation!$D$21/Calculation!$D$19*((1/'Frequency Data'!$A95)^2-1))^2+(Calculation!$D$3*'Frequency Data'!$A95*Calculation!$D$21/Calculation!$D$11*(1-(1/'Frequency Data'!$A95)^2))^2)</f>
        <v>0.90183902081413769</v>
      </c>
      <c r="E95" s="48">
        <f>Main!$B$19</f>
        <v>0.94069505396750086</v>
      </c>
      <c r="F95" s="48"/>
      <c r="G95" s="63">
        <f>IF(A95&lt;Main!$K$23,0,Main!$B$18)*IF(A95&lt;Main!$L$23,1,0)</f>
        <v>1.171664943123061</v>
      </c>
      <c r="H95" s="63">
        <f>IF(A95&lt;Main!$K$24,0,Main!$B$18)*IF(A95&lt;Main!$L$24,1,0)</f>
        <v>0</v>
      </c>
      <c r="J95">
        <f>IF(A95&gt;Main!$K$23,ABS(C95-$E95),10)</f>
        <v>1.6350405431481585E-2</v>
      </c>
      <c r="L95">
        <f>IF(A95&gt;Main!$K$23,ABS(D95-E95),10)</f>
        <v>3.8856033153363168E-2</v>
      </c>
      <c r="N95">
        <f>IF($A95&gt;Main!Q$28,ABS(O95-$E95),10)</f>
        <v>4.3974120510526182E-2</v>
      </c>
      <c r="O95">
        <f>1/SQRT((1-Calculation!$D$21/Calculation!$D$19*((1/'Frequency Data'!$A95)^2-1))^2+(Calculation!$D$3*'Frequency Data'!$A95*Calculation!$D$21/Calculation!$G$11*(1-(1/'Frequency Data'!$A95)^2))^2)*IF(Main!$Q$23,1,0)</f>
        <v>0.89672093345697468</v>
      </c>
      <c r="P95">
        <f>IF(N95=10,0,$O$188)*IF(Main!$Q$23,1,0)*IF($A95&lt;Main!$S$28,1,0)</f>
        <v>0</v>
      </c>
      <c r="R95">
        <f>IF($A95&gt;Main!Q$29,ABS(S95-$E95),10)</f>
        <v>9.008392559071654E-2</v>
      </c>
      <c r="S95">
        <f>1/SQRT((1-Calculation!$D$21/Calculation!$D$19*((1/'Frequency Data'!$A95)^2-1))^2+(Calculation!$D$3*'Frequency Data'!$A95*Calculation!$D$21/Calculation!$H$11*(1-(1/'Frequency Data'!$A95)^2))^2)*IF(Main!$Q$24,1,0)</f>
        <v>0.85061112837678432</v>
      </c>
      <c r="T95">
        <f>IF(R95=10,0,$O$188)*IF(Main!$Q$23,1,0)*IF($A95&lt;Main!$S$29,1,0)</f>
        <v>0</v>
      </c>
    </row>
    <row r="96" spans="1:20" x14ac:dyDescent="0.3">
      <c r="A96">
        <v>1.4</v>
      </c>
      <c r="B96" s="48">
        <f>Main!$B$18</f>
        <v>1.171664943123061</v>
      </c>
      <c r="C96">
        <f>1/SQRT((1-Calculation!$B$21/Calculation!$B$19*((1/'Frequency Data'!$A96)^2-1))^2+(Calculation!$B$3*'Frequency Data'!$A96*Calculation!$B$21/Calculation!$B$11*(1-(1/'Frequency Data'!$A96)^2))^2)</f>
        <v>0.94453086911236961</v>
      </c>
      <c r="D96">
        <f>1/SQRT((1-Calculation!$D$21/Calculation!$D$19*((1/'Frequency Data'!$A96)^2-1))^2+(Calculation!$D$3*'Frequency Data'!$A96*Calculation!$D$21/Calculation!$D$11*(1-(1/'Frequency Data'!$A96)^2))^2)</f>
        <v>0.87427409630169461</v>
      </c>
      <c r="E96" s="48">
        <f>Main!$B$19</f>
        <v>0.94069505396750086</v>
      </c>
      <c r="F96" s="48"/>
      <c r="G96" s="63">
        <f>IF(A96&lt;Main!$K$23,0,Main!$B$18)*IF(A96&lt;Main!$L$23,1,0)</f>
        <v>0</v>
      </c>
      <c r="H96" s="63">
        <f>IF(A96&lt;Main!$K$24,0,Main!$B$18)*IF(A96&lt;Main!$L$24,1,0)</f>
        <v>0</v>
      </c>
      <c r="J96">
        <f>IF(A96&gt;Main!$K$23,ABS(C96-$E96),10)</f>
        <v>3.8358151448687483E-3</v>
      </c>
      <c r="L96">
        <f>IF(A96&gt;Main!$K$23,ABS(D96-E96),10)</f>
        <v>6.6420957665806246E-2</v>
      </c>
      <c r="N96">
        <f>IF($A96&gt;Main!Q$28,ABS(O96-$E96),10)</f>
        <v>7.4166402810461496E-2</v>
      </c>
      <c r="O96">
        <f>1/SQRT((1-Calculation!$D$21/Calculation!$D$19*((1/'Frequency Data'!$A96)^2-1))^2+(Calculation!$D$3*'Frequency Data'!$A96*Calculation!$D$21/Calculation!$G$11*(1-(1/'Frequency Data'!$A96)^2))^2)*IF(Main!$Q$23,1,0)</f>
        <v>0.86652865115703936</v>
      </c>
      <c r="P96">
        <f>IF(N96=10,0,$O$188)*IF(Main!$Q$23,1,0)*IF($A96&lt;Main!$S$28,1,0)</f>
        <v>0</v>
      </c>
      <c r="R96">
        <f>IF($A96&gt;Main!Q$29,ABS(S96-$E96),10)</f>
        <v>0.14080273681129962</v>
      </c>
      <c r="S96">
        <f>1/SQRT((1-Calculation!$D$21/Calculation!$D$19*((1/'Frequency Data'!$A96)^2-1))^2+(Calculation!$D$3*'Frequency Data'!$A96*Calculation!$D$21/Calculation!$H$11*(1-(1/'Frequency Data'!$A96)^2))^2)*IF(Main!$Q$24,1,0)</f>
        <v>0.79989231715620124</v>
      </c>
      <c r="T96">
        <f>IF(R96=10,0,$O$188)*IF(Main!$Q$23,1,0)*IF($A96&lt;Main!$S$29,1,0)</f>
        <v>0</v>
      </c>
    </row>
    <row r="97" spans="1:20" x14ac:dyDescent="0.3">
      <c r="A97">
        <v>1.5</v>
      </c>
      <c r="B97" s="48">
        <f>Main!$B$18</f>
        <v>1.171664943123061</v>
      </c>
      <c r="C97">
        <f>1/SQRT((1-Calculation!$B$21/Calculation!$B$19*((1/'Frequency Data'!$A97)^2-1))^2+(Calculation!$B$3*'Frequency Data'!$A97*Calculation!$B$21/Calculation!$B$11*(1-(1/'Frequency Data'!$A97)^2))^2)</f>
        <v>0.93242102286642248</v>
      </c>
      <c r="D97">
        <f>1/SQRT((1-Calculation!$D$21/Calculation!$D$19*((1/'Frequency Data'!$A97)^2-1))^2+(Calculation!$D$3*'Frequency Data'!$A97*Calculation!$D$21/Calculation!$D$11*(1-(1/'Frequency Data'!$A97)^2))^2)</f>
        <v>0.84838580735413416</v>
      </c>
      <c r="E97" s="48">
        <f>Main!$B$19</f>
        <v>0.94069505396750086</v>
      </c>
      <c r="F97" s="48"/>
      <c r="G97" s="63">
        <f>IF(A97&lt;Main!$K$23,0,Main!$B$18)*IF(A97&lt;Main!$L$23,1,0)</f>
        <v>0</v>
      </c>
      <c r="H97" s="63">
        <f>IF(A97&lt;Main!$K$24,0,Main!$B$18)*IF(A97&lt;Main!$L$24,1,0)</f>
        <v>0</v>
      </c>
      <c r="J97">
        <f>IF(A97&gt;Main!$K$23,ABS(C97-$E97),10)</f>
        <v>8.2740311010783829E-3</v>
      </c>
      <c r="L97">
        <f>IF(A97&gt;Main!$K$23,ABS(D97-E97),10)</f>
        <v>9.2309246613366702E-2</v>
      </c>
      <c r="N97">
        <f>IF($A97&gt;Main!Q$28,ABS(O97-$E97),10)</f>
        <v>0.10270829400867909</v>
      </c>
      <c r="O97">
        <f>1/SQRT((1-Calculation!$D$21/Calculation!$D$19*((1/'Frequency Data'!$A97)^2-1))^2+(Calculation!$D$3*'Frequency Data'!$A97*Calculation!$D$21/Calculation!$G$11*(1-(1/'Frequency Data'!$A97)^2))^2)*IF(Main!$Q$23,1,0)</f>
        <v>0.83798675995882177</v>
      </c>
      <c r="P97">
        <f>IF(N97=10,0,$O$188)*IF(Main!$Q$23,1,0)*IF($A97&lt;Main!$S$28,1,0)</f>
        <v>0</v>
      </c>
      <c r="R97">
        <f>IF($A97&gt;Main!Q$29,ABS(S97-$E97),10)</f>
        <v>0.18807375179012376</v>
      </c>
      <c r="S97">
        <f>1/SQRT((1-Calculation!$D$21/Calculation!$D$19*((1/'Frequency Data'!$A97)^2-1))^2+(Calculation!$D$3*'Frequency Data'!$A97*Calculation!$D$21/Calculation!$H$11*(1-(1/'Frequency Data'!$A97)^2))^2)*IF(Main!$Q$24,1,0)</f>
        <v>0.75262130217737711</v>
      </c>
      <c r="T97">
        <f>IF(R97=10,0,$O$188)*IF(Main!$Q$23,1,0)*IF($A97&lt;Main!$S$29,1,0)</f>
        <v>0</v>
      </c>
    </row>
    <row r="98" spans="1:20" x14ac:dyDescent="0.3">
      <c r="A98">
        <v>1.6</v>
      </c>
      <c r="B98" s="48">
        <f>Main!$B$18</f>
        <v>1.171664943123061</v>
      </c>
      <c r="C98">
        <f>1/SQRT((1-Calculation!$B$21/Calculation!$B$19*((1/'Frequency Data'!$A98)^2-1))^2+(Calculation!$B$3*'Frequency Data'!$A98*Calculation!$B$21/Calculation!$B$11*(1-(1/'Frequency Data'!$A98)^2))^2)</f>
        <v>0.92056856578678703</v>
      </c>
      <c r="D98">
        <f>1/SQRT((1-Calculation!$D$21/Calculation!$D$19*((1/'Frequency Data'!$A98)^2-1))^2+(Calculation!$D$3*'Frequency Data'!$A98*Calculation!$D$21/Calculation!$D$11*(1-(1/'Frequency Data'!$A98)^2))^2)</f>
        <v>0.82388391154210228</v>
      </c>
      <c r="E98" s="48">
        <f>Main!$B$19</f>
        <v>0.94069505396750086</v>
      </c>
      <c r="F98" s="48"/>
      <c r="G98" s="63">
        <f>IF(A98&lt;Main!$K$23,0,Main!$B$18)*IF(A98&lt;Main!$L$23,1,0)</f>
        <v>0</v>
      </c>
      <c r="H98" s="63">
        <f>IF(A98&lt;Main!$K$24,0,Main!$B$18)*IF(A98&lt;Main!$L$24,1,0)</f>
        <v>0</v>
      </c>
      <c r="J98">
        <f>IF(A98&gt;Main!$K$23,ABS(C98-$E98),10)</f>
        <v>2.0126488180713831E-2</v>
      </c>
      <c r="L98">
        <f>IF(A98&gt;Main!$K$23,ABS(D98-E98),10)</f>
        <v>0.11681114242539858</v>
      </c>
      <c r="N98">
        <f>IF($A98&gt;Main!Q$28,ABS(O98-$E98),10)</f>
        <v>0.12977925356734754</v>
      </c>
      <c r="O98">
        <f>1/SQRT((1-Calculation!$D$21/Calculation!$D$19*((1/'Frequency Data'!$A98)^2-1))^2+(Calculation!$D$3*'Frequency Data'!$A98*Calculation!$D$21/Calculation!$G$11*(1-(1/'Frequency Data'!$A98)^2))^2)*IF(Main!$Q$23,1,0)</f>
        <v>0.81091580040015332</v>
      </c>
      <c r="P98">
        <f>IF(N98=10,0,$O$188)*IF(Main!$Q$23,1,0)*IF($A98&lt;Main!$S$28,1,0)</f>
        <v>0</v>
      </c>
      <c r="R98">
        <f>IF($A98&gt;Main!Q$29,ABS(S98-$E98),10)</f>
        <v>0.23145927954785883</v>
      </c>
      <c r="S98">
        <f>1/SQRT((1-Calculation!$D$21/Calculation!$D$19*((1/'Frequency Data'!$A98)^2-1))^2+(Calculation!$D$3*'Frequency Data'!$A98*Calculation!$D$21/Calculation!$H$11*(1-(1/'Frequency Data'!$A98)^2))^2)*IF(Main!$Q$24,1,0)</f>
        <v>0.70923577441964203</v>
      </c>
      <c r="T98">
        <f>IF(R98=10,0,$O$188)*IF(Main!$Q$23,1,0)*IF($A98&lt;Main!$S$29,1,0)</f>
        <v>0</v>
      </c>
    </row>
    <row r="99" spans="1:20" x14ac:dyDescent="0.3">
      <c r="A99">
        <v>1.7</v>
      </c>
      <c r="B99" s="48">
        <f>Main!$B$18</f>
        <v>1.171664943123061</v>
      </c>
      <c r="C99">
        <f>1/SQRT((1-Calculation!$B$21/Calculation!$B$19*((1/'Frequency Data'!$A99)^2-1))^2+(Calculation!$B$3*'Frequency Data'!$A99*Calculation!$B$21/Calculation!$B$11*(1-(1/'Frequency Data'!$A99)^2))^2)</f>
        <v>0.90887875740658453</v>
      </c>
      <c r="D99">
        <f>1/SQRT((1-Calculation!$D$21/Calculation!$D$19*((1/'Frequency Data'!$A99)^2-1))^2+(Calculation!$D$3*'Frequency Data'!$A99*Calculation!$D$21/Calculation!$D$11*(1-(1/'Frequency Data'!$A99)^2))^2)</f>
        <v>0.80057006936277375</v>
      </c>
      <c r="E99" s="48">
        <f>Main!$B$19</f>
        <v>0.94069505396750086</v>
      </c>
      <c r="F99" s="48"/>
      <c r="G99" s="63">
        <f>IF(A99&lt;Main!$K$23,0,Main!$B$18)*IF(A99&lt;Main!$L$23,1,0)</f>
        <v>0</v>
      </c>
      <c r="H99" s="63">
        <f>IF(A99&lt;Main!$K$24,0,Main!$B$18)*IF(A99&lt;Main!$L$24,1,0)</f>
        <v>0</v>
      </c>
      <c r="J99">
        <f>IF(A99&gt;Main!$K$23,ABS(C99-$E99),10)</f>
        <v>3.1816296560916335E-2</v>
      </c>
      <c r="L99">
        <f>IF(A99&gt;Main!$K$23,ABS(D99-E99),10)</f>
        <v>0.14012498460472711</v>
      </c>
      <c r="N99">
        <f>IF($A99&gt;Main!Q$28,ABS(O99-$E99),10)</f>
        <v>0.15551285391878411</v>
      </c>
      <c r="O99">
        <f>1/SQRT((1-Calculation!$D$21/Calculation!$D$19*((1/'Frequency Data'!$A99)^2-1))^2+(Calculation!$D$3*'Frequency Data'!$A99*Calculation!$D$21/Calculation!$G$11*(1-(1/'Frequency Data'!$A99)^2))^2)*IF(Main!$Q$23,1,0)</f>
        <v>0.78518220004871675</v>
      </c>
      <c r="P99">
        <f>IF(N99=10,0,$O$188)*IF(Main!$Q$23,1,0)*IF($A99&lt;Main!$S$28,1,0)</f>
        <v>0</v>
      </c>
      <c r="R99">
        <f>IF($A99&gt;Main!Q$29,ABS(S99-$E99),10)</f>
        <v>0.27098767760115727</v>
      </c>
      <c r="S99">
        <f>1/SQRT((1-Calculation!$D$21/Calculation!$D$19*((1/'Frequency Data'!$A99)^2-1))^2+(Calculation!$D$3*'Frequency Data'!$A99*Calculation!$D$21/Calculation!$H$11*(1-(1/'Frequency Data'!$A99)^2))^2)*IF(Main!$Q$24,1,0)</f>
        <v>0.66970737636634359</v>
      </c>
      <c r="T99">
        <f>IF(R99=10,0,$O$188)*IF(Main!$Q$23,1,0)*IF($A99&lt;Main!$S$29,1,0)</f>
        <v>0</v>
      </c>
    </row>
    <row r="100" spans="1:20" x14ac:dyDescent="0.3">
      <c r="A100">
        <v>1.8</v>
      </c>
      <c r="B100" s="48">
        <f>Main!$B$18</f>
        <v>1.171664943123061</v>
      </c>
      <c r="C100">
        <f>1/SQRT((1-Calculation!$B$21/Calculation!$B$19*((1/'Frequency Data'!$A100)^2-1))^2+(Calculation!$B$3*'Frequency Data'!$A100*Calculation!$B$21/Calculation!$B$11*(1-(1/'Frequency Data'!$A100)^2))^2)</f>
        <v>0.89729196329330552</v>
      </c>
      <c r="D100">
        <f>1/SQRT((1-Calculation!$D$21/Calculation!$D$19*((1/'Frequency Data'!$A100)^2-1))^2+(Calculation!$D$3*'Frequency Data'!$A100*Calculation!$D$21/Calculation!$D$11*(1-(1/'Frequency Data'!$A100)^2))^2)</f>
        <v>0.77830624827594064</v>
      </c>
      <c r="E100" s="48">
        <f>Main!$B$19</f>
        <v>0.94069505396750086</v>
      </c>
      <c r="F100" s="48"/>
      <c r="G100" s="63">
        <f>IF(A100&lt;Main!$K$23,0,Main!$B$18)*IF(A100&lt;Main!$L$23,1,0)</f>
        <v>0</v>
      </c>
      <c r="H100" s="63">
        <f>IF(A100&lt;Main!$K$24,0,Main!$B$18)*IF(A100&lt;Main!$L$24,1,0)</f>
        <v>0</v>
      </c>
      <c r="J100">
        <f>IF(A100&gt;Main!$K$23,ABS(C100-$E100),10)</f>
        <v>4.3403090674195344E-2</v>
      </c>
      <c r="L100">
        <f>IF(A100&gt;Main!$K$23,ABS(D100-E100),10)</f>
        <v>0.16238880569156022</v>
      </c>
      <c r="N100">
        <f>IF($A100&gt;Main!Q$28,ABS(O100-$E100),10)</f>
        <v>0.18001152116484942</v>
      </c>
      <c r="O100">
        <f>1/SQRT((1-Calculation!$D$21/Calculation!$D$19*((1/'Frequency Data'!$A100)^2-1))^2+(Calculation!$D$3*'Frequency Data'!$A100*Calculation!$D$21/Calculation!$G$11*(1-(1/'Frequency Data'!$A100)^2))^2)*IF(Main!$Q$23,1,0)</f>
        <v>0.76068353280265144</v>
      </c>
      <c r="P100">
        <f>IF(N100=10,0,$O$188)*IF(Main!$Q$23,1,0)*IF($A100&lt;Main!$S$28,1,0)</f>
        <v>0</v>
      </c>
      <c r="R100">
        <f>IF($A100&gt;Main!Q$29,ABS(S100-$E100),10)</f>
        <v>0.30690071963397147</v>
      </c>
      <c r="S100">
        <f>1/SQRT((1-Calculation!$D$21/Calculation!$D$19*((1/'Frequency Data'!$A100)^2-1))^2+(Calculation!$D$3*'Frequency Data'!$A100*Calculation!$D$21/Calculation!$H$11*(1-(1/'Frequency Data'!$A100)^2))^2)*IF(Main!$Q$24,1,0)</f>
        <v>0.63379433433352939</v>
      </c>
      <c r="T100">
        <f>IF(R100=10,0,$O$188)*IF(Main!$Q$23,1,0)*IF($A100&lt;Main!$S$29,1,0)</f>
        <v>0</v>
      </c>
    </row>
    <row r="101" spans="1:20" x14ac:dyDescent="0.3">
      <c r="A101">
        <v>1.9</v>
      </c>
      <c r="B101" s="48">
        <f>Main!$B$18</f>
        <v>1.171664943123061</v>
      </c>
      <c r="C101">
        <f>1/SQRT((1-Calculation!$B$21/Calculation!$B$19*((1/'Frequency Data'!$A101)^2-1))^2+(Calculation!$B$3*'Frequency Data'!$A101*Calculation!$B$21/Calculation!$B$11*(1-(1/'Frequency Data'!$A101)^2))^2)</f>
        <v>0.88577229455072215</v>
      </c>
      <c r="D101">
        <f>1/SQRT((1-Calculation!$D$21/Calculation!$D$19*((1/'Frequency Data'!$A101)^2-1))^2+(Calculation!$D$3*'Frequency Data'!$A101*Calculation!$D$21/Calculation!$D$11*(1-(1/'Frequency Data'!$A101)^2))^2)</f>
        <v>0.75699385799053864</v>
      </c>
      <c r="E101" s="48">
        <f>Main!$B$19</f>
        <v>0.94069505396750086</v>
      </c>
      <c r="F101" s="48"/>
      <c r="G101" s="63">
        <f>IF(A101&lt;Main!$K$23,0,Main!$B$18)*IF(A101&lt;Main!$L$23,1,0)</f>
        <v>0</v>
      </c>
      <c r="H101" s="63">
        <f>IF(A101&lt;Main!$K$24,0,Main!$B$18)*IF(A101&lt;Main!$L$24,1,0)</f>
        <v>0</v>
      </c>
      <c r="J101">
        <f>IF(A101&gt;Main!$K$23,ABS(C101-$E101),10)</f>
        <v>5.492275941677871E-2</v>
      </c>
      <c r="L101">
        <f>IF(A101&gt;Main!$K$23,ABS(D101-E101),10)</f>
        <v>0.18370119597696222</v>
      </c>
      <c r="N101">
        <f>IF($A101&gt;Main!Q$28,ABS(O101-$E101),10)</f>
        <v>0.2033571049569135</v>
      </c>
      <c r="O101">
        <f>1/SQRT((1-Calculation!$D$21/Calculation!$D$19*((1/'Frequency Data'!$A101)^2-1))^2+(Calculation!$D$3*'Frequency Data'!$A101*Calculation!$D$21/Calculation!$G$11*(1-(1/'Frequency Data'!$A101)^2))^2)*IF(Main!$Q$23,1,0)</f>
        <v>0.73733794901058736</v>
      </c>
      <c r="P101">
        <f>IF(N101=10,0,$O$188)*IF(Main!$Q$23,1,0)*IF($A101&lt;Main!$S$28,1,0)</f>
        <v>0</v>
      </c>
      <c r="R101">
        <f>IF($A101&gt;Main!Q$29,ABS(S101-$E101),10)</f>
        <v>0.33952186439929843</v>
      </c>
      <c r="S101">
        <f>1/SQRT((1-Calculation!$D$21/Calculation!$D$19*((1/'Frequency Data'!$A101)^2-1))^2+(Calculation!$D$3*'Frequency Data'!$A101*Calculation!$D$21/Calculation!$H$11*(1-(1/'Frequency Data'!$A101)^2))^2)*IF(Main!$Q$24,1,0)</f>
        <v>0.60117318956820243</v>
      </c>
      <c r="T101">
        <f>IF(R101=10,0,$O$188)*IF(Main!$Q$23,1,0)*IF($A101&lt;Main!$S$29,1,0)</f>
        <v>0</v>
      </c>
    </row>
    <row r="102" spans="1:20" x14ac:dyDescent="0.3">
      <c r="A102">
        <v>2</v>
      </c>
      <c r="B102" s="48">
        <f>Main!$B$18</f>
        <v>1.171664943123061</v>
      </c>
      <c r="C102">
        <f>1/SQRT((1-Calculation!$B$21/Calculation!$B$19*((1/'Frequency Data'!$A102)^2-1))^2+(Calculation!$B$3*'Frequency Data'!$A102*Calculation!$B$21/Calculation!$B$11*(1-(1/'Frequency Data'!$A102)^2))^2)</f>
        <v>0.8743000519666474</v>
      </c>
      <c r="D102">
        <f>1/SQRT((1-Calculation!$D$21/Calculation!$D$19*((1/'Frequency Data'!$A102)^2-1))^2+(Calculation!$D$3*'Frequency Data'!$A102*Calculation!$D$21/Calculation!$D$11*(1-(1/'Frequency Data'!$A102)^2))^2)</f>
        <v>0.73656004910758022</v>
      </c>
      <c r="E102" s="48">
        <f>Main!$B$19</f>
        <v>0.94069505396750086</v>
      </c>
      <c r="F102" s="48"/>
      <c r="G102" s="63">
        <f>IF(A102&lt;Main!$K$23,0,Main!$B$18)*IF(A102&lt;Main!$L$23,1,0)</f>
        <v>0</v>
      </c>
      <c r="H102" s="63">
        <f>IF(A102&lt;Main!$K$24,0,Main!$B$18)*IF(A102&lt;Main!$L$24,1,0)</f>
        <v>0</v>
      </c>
      <c r="J102">
        <f>IF(A102&gt;Main!$K$23,ABS(C102-$E102),10)</f>
        <v>6.6395002000853465E-2</v>
      </c>
      <c r="L102">
        <f>IF(A102&gt;Main!$K$23,ABS(D102-E102),10)</f>
        <v>0.20413500485992064</v>
      </c>
      <c r="N102">
        <f>IF($A102&gt;Main!Q$28,ABS(O102-$E102),10)</f>
        <v>0.22561800501818097</v>
      </c>
      <c r="O102">
        <f>1/SQRT((1-Calculation!$D$21/Calculation!$D$19*((1/'Frequency Data'!$A102)^2-1))^2+(Calculation!$D$3*'Frequency Data'!$A102*Calculation!$D$21/Calculation!$G$11*(1-(1/'Frequency Data'!$A102)^2))^2)*IF(Main!$Q$23,1,0)</f>
        <v>0.71507704894931989</v>
      </c>
      <c r="P102">
        <f>IF(N102=10,0,$O$188)*IF(Main!$Q$23,1,0)*IF($A102&lt;Main!$S$28,1,0)</f>
        <v>0</v>
      </c>
      <c r="R102">
        <f>IF($A102&gt;Main!Q$29,ABS(S102-$E102),10)</f>
        <v>0.36919038616259958</v>
      </c>
      <c r="S102">
        <f>1/SQRT((1-Calculation!$D$21/Calculation!$D$19*((1/'Frequency Data'!$A102)^2-1))^2+(Calculation!$D$3*'Frequency Data'!$A102*Calculation!$D$21/Calculation!$H$11*(1-(1/'Frequency Data'!$A102)^2))^2)*IF(Main!$Q$24,1,0)</f>
        <v>0.57150466780490128</v>
      </c>
      <c r="T102">
        <f>IF(R102=10,0,$O$188)*IF(Main!$Q$23,1,0)*IF($A102&lt;Main!$S$29,1,0)</f>
        <v>0</v>
      </c>
    </row>
    <row r="103" spans="1:20" x14ac:dyDescent="0.3">
      <c r="A103">
        <v>2.1</v>
      </c>
      <c r="B103" s="48">
        <f>Main!$B$18</f>
        <v>1.171664943123061</v>
      </c>
      <c r="C103">
        <f>1/SQRT((1-Calculation!$B$21/Calculation!$B$19*((1/'Frequency Data'!$A103)^2-1))^2+(Calculation!$B$3*'Frequency Data'!$A103*Calculation!$B$21/Calculation!$B$11*(1-(1/'Frequency Data'!$A103)^2))^2)</f>
        <v>0.86286659199359006</v>
      </c>
      <c r="D103">
        <f>1/SQRT((1-Calculation!$D$21/Calculation!$D$19*((1/'Frequency Data'!$A103)^2-1))^2+(Calculation!$D$3*'Frequency Data'!$A103*Calculation!$D$21/Calculation!$D$11*(1-(1/'Frequency Data'!$A103)^2))^2)</f>
        <v>0.71694873937492432</v>
      </c>
      <c r="E103" s="48">
        <f>Main!$B$19</f>
        <v>0.94069505396750086</v>
      </c>
      <c r="F103" s="48"/>
      <c r="G103" s="63">
        <f>IF(A103&lt;Main!$K$23,0,Main!$B$18)*IF(A103&lt;Main!$L$23,1,0)</f>
        <v>0</v>
      </c>
      <c r="H103" s="63">
        <f>IF(A103&lt;Main!$K$24,0,Main!$B$18)*IF(A103&lt;Main!$L$24,1,0)</f>
        <v>0</v>
      </c>
      <c r="J103">
        <f>IF(A103&gt;Main!$K$23,ABS(C103-$E103),10)</f>
        <v>7.7828461973910801E-2</v>
      </c>
      <c r="L103">
        <f>IF(A103&gt;Main!$K$23,ABS(D103-E103),10)</f>
        <v>0.22374631459257655</v>
      </c>
      <c r="N103">
        <f>IF($A103&gt;Main!Q$28,ABS(O103-$E103),10)</f>
        <v>0.24685380169323956</v>
      </c>
      <c r="O103">
        <f>1/SQRT((1-Calculation!$D$21/Calculation!$D$19*((1/'Frequency Data'!$A103)^2-1))^2+(Calculation!$D$3*'Frequency Data'!$A103*Calculation!$D$21/Calculation!$G$11*(1-(1/'Frequency Data'!$A103)^2))^2)*IF(Main!$Q$23,1,0)</f>
        <v>0.6938412522742613</v>
      </c>
      <c r="P103">
        <f>IF(N103=10,0,$O$188)*IF(Main!$Q$23,1,0)*IF($A103&lt;Main!$S$28,1,0)</f>
        <v>0</v>
      </c>
      <c r="R103">
        <f>IF($A103&gt;Main!Q$29,ABS(S103-$E103),10)</f>
        <v>0.39623035039423127</v>
      </c>
      <c r="S103">
        <f>1/SQRT((1-Calculation!$D$21/Calculation!$D$19*((1/'Frequency Data'!$A103)^2-1))^2+(Calculation!$D$3*'Frequency Data'!$A103*Calculation!$D$21/Calculation!$H$11*(1-(1/'Frequency Data'!$A103)^2))^2)*IF(Main!$Q$24,1,0)</f>
        <v>0.54446470357326959</v>
      </c>
      <c r="T103">
        <f>IF(R103=10,0,$O$188)*IF(Main!$Q$23,1,0)*IF($A103&lt;Main!$S$29,1,0)</f>
        <v>0</v>
      </c>
    </row>
    <row r="104" spans="1:20" x14ac:dyDescent="0.3">
      <c r="A104">
        <v>2.2000000000000002</v>
      </c>
      <c r="B104" s="48">
        <f>Main!$B$18</f>
        <v>1.171664943123061</v>
      </c>
      <c r="C104">
        <f>1/SQRT((1-Calculation!$B$21/Calculation!$B$19*((1/'Frequency Data'!$A104)^2-1))^2+(Calculation!$B$3*'Frequency Data'!$A104*Calculation!$B$21/Calculation!$B$11*(1-(1/'Frequency Data'!$A104)^2))^2)</f>
        <v>0.85147077505643276</v>
      </c>
      <c r="D104">
        <f>1/SQRT((1-Calculation!$D$21/Calculation!$D$19*((1/'Frequency Data'!$A104)^2-1))^2+(Calculation!$D$3*'Frequency Data'!$A104*Calculation!$D$21/Calculation!$D$11*(1-(1/'Frequency Data'!$A104)^2))^2)</f>
        <v>0.69811475262868228</v>
      </c>
      <c r="E104" s="48">
        <f>Main!$B$19</f>
        <v>0.94069505396750086</v>
      </c>
      <c r="F104" s="48"/>
      <c r="G104" s="63">
        <f>IF(A104&lt;Main!$K$23,0,Main!$B$18)*IF(A104&lt;Main!$L$23,1,0)</f>
        <v>0</v>
      </c>
      <c r="H104" s="63">
        <f>IF(A104&lt;Main!$K$24,0,Main!$B$18)*IF(A104&lt;Main!$L$24,1,0)</f>
        <v>0</v>
      </c>
      <c r="J104">
        <f>IF(A104&gt;Main!$K$23,ABS(C104-$E104),10)</f>
        <v>8.92242789110681E-2</v>
      </c>
      <c r="L104">
        <f>IF(A104&gt;Main!$K$23,ABS(D104-E104),10)</f>
        <v>0.24258030133881858</v>
      </c>
      <c r="N104">
        <f>IF($A104&gt;Main!Q$28,ABS(O104-$E104),10)</f>
        <v>0.26711818149250044</v>
      </c>
      <c r="O104">
        <f>1/SQRT((1-Calculation!$D$21/Calculation!$D$19*((1/'Frequency Data'!$A104)^2-1))^2+(Calculation!$D$3*'Frequency Data'!$A104*Calculation!$D$21/Calculation!$G$11*(1-(1/'Frequency Data'!$A104)^2))^2)*IF(Main!$Q$23,1,0)</f>
        <v>0.67357687247500042</v>
      </c>
      <c r="P104">
        <f>IF(N104=10,0,$O$188)*IF(Main!$Q$23,1,0)*IF($A104&lt;Main!$S$28,1,0)</f>
        <v>0</v>
      </c>
      <c r="R104">
        <f>IF($A104&gt;Main!Q$29,ABS(S104-$E104),10)</f>
        <v>0.42093762271879209</v>
      </c>
      <c r="S104">
        <f>1/SQRT((1-Calculation!$D$21/Calculation!$D$19*((1/'Frequency Data'!$A104)^2-1))^2+(Calculation!$D$3*'Frequency Data'!$A104*Calculation!$D$21/Calculation!$H$11*(1-(1/'Frequency Data'!$A104)^2))^2)*IF(Main!$Q$24,1,0)</f>
        <v>0.51975743124870877</v>
      </c>
      <c r="T104">
        <f>IF(R104=10,0,$O$188)*IF(Main!$Q$23,1,0)*IF($A104&lt;Main!$S$29,1,0)</f>
        <v>0</v>
      </c>
    </row>
    <row r="105" spans="1:20" x14ac:dyDescent="0.3">
      <c r="A105">
        <v>2.2999999999999998</v>
      </c>
      <c r="B105" s="48">
        <f>Main!$B$18</f>
        <v>1.171664943123061</v>
      </c>
      <c r="C105">
        <f>1/SQRT((1-Calculation!$B$21/Calculation!$B$19*((1/'Frequency Data'!$A105)^2-1))^2+(Calculation!$B$3*'Frequency Data'!$A105*Calculation!$B$21/Calculation!$B$11*(1-(1/'Frequency Data'!$A105)^2))^2)</f>
        <v>0.84011647272586576</v>
      </c>
      <c r="D105">
        <f>1/SQRT((1-Calculation!$D$21/Calculation!$D$19*((1/'Frequency Data'!$A105)^2-1))^2+(Calculation!$D$3*'Frequency Data'!$A105*Calculation!$D$21/Calculation!$D$11*(1-(1/'Frequency Data'!$A105)^2))^2)</f>
        <v>0.68002000805243856</v>
      </c>
      <c r="E105" s="48">
        <f>Main!$B$19</f>
        <v>0.94069505396750086</v>
      </c>
      <c r="F105" s="48"/>
      <c r="G105" s="63">
        <f>IF(A105&lt;Main!$K$23,0,Main!$B$18)*IF(A105&lt;Main!$L$23,1,0)</f>
        <v>0</v>
      </c>
      <c r="H105" s="63">
        <f>IF(A105&lt;Main!$K$24,0,Main!$B$18)*IF(A105&lt;Main!$L$24,1,0)</f>
        <v>0</v>
      </c>
      <c r="J105">
        <f>IF(A105&gt;Main!$K$23,ABS(C105-$E105),10)</f>
        <v>0.1005785812416351</v>
      </c>
      <c r="L105">
        <f>IF(A105&gt;Main!$K$23,ABS(D105-E105),10)</f>
        <v>0.2606750459150623</v>
      </c>
      <c r="N105">
        <f>IF($A105&gt;Main!Q$28,ABS(O105-$E105),10)</f>
        <v>0.28646073792782367</v>
      </c>
      <c r="O105">
        <f>1/SQRT((1-Calculation!$D$21/Calculation!$D$19*((1/'Frequency Data'!$A105)^2-1))^2+(Calculation!$D$3*'Frequency Data'!$A105*Calculation!$D$21/Calculation!$G$11*(1-(1/'Frequency Data'!$A105)^2))^2)*IF(Main!$Q$23,1,0)</f>
        <v>0.65423431603967719</v>
      </c>
      <c r="P105">
        <f>IF(N105=10,0,$O$188)*IF(Main!$Q$23,1,0)*IF($A105&lt;Main!$S$28,1,0)</f>
        <v>0</v>
      </c>
      <c r="R105">
        <f>IF($A105&gt;Main!Q$29,ABS(S105-$E105),10)</f>
        <v>0.44357597077784383</v>
      </c>
      <c r="S105">
        <f>1/SQRT((1-Calculation!$D$21/Calculation!$D$19*((1/'Frequency Data'!$A105)^2-1))^2+(Calculation!$D$3*'Frequency Data'!$A105*Calculation!$D$21/Calculation!$H$11*(1-(1/'Frequency Data'!$A105)^2))^2)*IF(Main!$Q$24,1,0)</f>
        <v>0.49711908318965703</v>
      </c>
      <c r="T105">
        <f>IF(R105=10,0,$O$188)*IF(Main!$Q$23,1,0)*IF($A105&lt;Main!$S$29,1,0)</f>
        <v>0</v>
      </c>
    </row>
    <row r="106" spans="1:20" x14ac:dyDescent="0.3">
      <c r="A106">
        <v>2.4</v>
      </c>
      <c r="B106" s="48">
        <f>Main!$B$18</f>
        <v>1.171664943123061</v>
      </c>
      <c r="C106">
        <f>1/SQRT((1-Calculation!$B$21/Calculation!$B$19*((1/'Frequency Data'!$A106)^2-1))^2+(Calculation!$B$3*'Frequency Data'!$A106*Calculation!$B$21/Calculation!$B$11*(1-(1/'Frequency Data'!$A106)^2))^2)</f>
        <v>0.82881079905017419</v>
      </c>
      <c r="D106">
        <f>1/SQRT((1-Calculation!$D$21/Calculation!$D$19*((1/'Frequency Data'!$A106)^2-1))^2+(Calculation!$D$3*'Frequency Data'!$A106*Calculation!$D$21/Calculation!$D$11*(1-(1/'Frequency Data'!$A106)^2))^2)</f>
        <v>0.66263106061030386</v>
      </c>
      <c r="E106" s="48">
        <f>Main!$B$19</f>
        <v>0.94069505396750086</v>
      </c>
      <c r="F106" s="48"/>
      <c r="G106" s="63">
        <f>IF(A106&lt;Main!$K$23,0,Main!$B$18)*IF(A106&lt;Main!$L$23,1,0)</f>
        <v>0</v>
      </c>
      <c r="H106" s="63">
        <f>IF(A106&lt;Main!$K$24,0,Main!$B$18)*IF(A106&lt;Main!$L$24,1,0)</f>
        <v>0</v>
      </c>
      <c r="J106">
        <f>IF(A106&gt;Main!$K$23,ABS(C106-$E106),10)</f>
        <v>0.11188425491732668</v>
      </c>
      <c r="L106">
        <f>IF(A106&gt;Main!$K$23,ABS(D106-E106),10)</f>
        <v>0.278063993357197</v>
      </c>
      <c r="N106">
        <f>IF($A106&gt;Main!Q$28,ABS(O106-$E106),10)</f>
        <v>0.30492804949613805</v>
      </c>
      <c r="O106">
        <f>1/SQRT((1-Calculation!$D$21/Calculation!$D$19*((1/'Frequency Data'!$A106)^2-1))^2+(Calculation!$D$3*'Frequency Data'!$A106*Calculation!$D$21/Calculation!$G$11*(1-(1/'Frequency Data'!$A106)^2))^2)*IF(Main!$Q$23,1,0)</f>
        <v>0.63576700447136281</v>
      </c>
      <c r="P106">
        <f>IF(N106=10,0,$O$188)*IF(Main!$Q$23,1,0)*IF($A106&lt;Main!$S$28,1,0)</f>
        <v>0</v>
      </c>
      <c r="R106">
        <f>IF($A106&gt;Main!Q$29,ABS(S106-$E106),10)</f>
        <v>0.4643775593773895</v>
      </c>
      <c r="S106">
        <f>1/SQRT((1-Calculation!$D$21/Calculation!$D$19*((1/'Frequency Data'!$A106)^2-1))^2+(Calculation!$D$3*'Frequency Data'!$A106*Calculation!$D$21/Calculation!$H$11*(1-(1/'Frequency Data'!$A106)^2))^2)*IF(Main!$Q$24,1,0)</f>
        <v>0.47631749459011136</v>
      </c>
      <c r="T106">
        <f>IF(R106=10,0,$O$188)*IF(Main!$Q$23,1,0)*IF($A106&lt;Main!$S$29,1,0)</f>
        <v>0</v>
      </c>
    </row>
    <row r="107" spans="1:20" x14ac:dyDescent="0.3">
      <c r="A107">
        <v>2.5</v>
      </c>
      <c r="B107" s="48">
        <f>Main!$B$18</f>
        <v>1.171664943123061</v>
      </c>
      <c r="C107">
        <f>1/SQRT((1-Calculation!$B$21/Calculation!$B$19*((1/'Frequency Data'!$A107)^2-1))^2+(Calculation!$B$3*'Frequency Data'!$A107*Calculation!$B$21/Calculation!$B$11*(1-(1/'Frequency Data'!$A107)^2))^2)</f>
        <v>0.81756284689642156</v>
      </c>
      <c r="D107">
        <f>1/SQRT((1-Calculation!$D$21/Calculation!$D$19*((1/'Frequency Data'!$A107)^2-1))^2+(Calculation!$D$3*'Frequency Data'!$A107*Calculation!$D$21/Calculation!$D$11*(1-(1/'Frequency Data'!$A107)^2))^2)</f>
        <v>0.64591753109240324</v>
      </c>
      <c r="E107" s="48">
        <f>Main!$B$19</f>
        <v>0.94069505396750086</v>
      </c>
      <c r="F107" s="48"/>
      <c r="G107" s="63">
        <f>IF(A107&lt;Main!$K$23,0,Main!$B$18)*IF(A107&lt;Main!$L$23,1,0)</f>
        <v>0</v>
      </c>
      <c r="H107" s="63">
        <f>IF(A107&lt;Main!$K$24,0,Main!$B$18)*IF(A107&lt;Main!$L$24,1,0)</f>
        <v>0</v>
      </c>
      <c r="J107">
        <f>IF(A107&gt;Main!$K$23,ABS(C107-$E107),10)</f>
        <v>0.1231322070710793</v>
      </c>
      <c r="L107">
        <f>IF(A107&gt;Main!$K$23,ABS(D107-E107),10)</f>
        <v>0.29477752287509762</v>
      </c>
      <c r="N107">
        <f>IF($A107&gt;Main!Q$28,ABS(O107-$E107),10)</f>
        <v>0.3225643042504367</v>
      </c>
      <c r="O107">
        <f>1/SQRT((1-Calculation!$D$21/Calculation!$D$19*((1/'Frequency Data'!$A107)^2-1))^2+(Calculation!$D$3*'Frequency Data'!$A107*Calculation!$D$21/Calculation!$G$11*(1-(1/'Frequency Data'!$A107)^2))^2)*IF(Main!$Q$23,1,0)</f>
        <v>0.61813074971706417</v>
      </c>
      <c r="P107">
        <f>IF(N107=10,0,$O$188)*IF(Main!$Q$23,1,0)*IF($A107&lt;Main!$S$28,1,0)</f>
        <v>0</v>
      </c>
      <c r="R107">
        <f>IF($A107&gt;Main!Q$29,ABS(S107-$E107),10)</f>
        <v>0.48354539658794682</v>
      </c>
      <c r="S107">
        <f>1/SQRT((1-Calculation!$D$21/Calculation!$D$19*((1/'Frequency Data'!$A107)^2-1))^2+(Calculation!$D$3*'Frequency Data'!$A107*Calculation!$D$21/Calculation!$H$11*(1-(1/'Frequency Data'!$A107)^2))^2)*IF(Main!$Q$24,1,0)</f>
        <v>0.45714965737955404</v>
      </c>
      <c r="T107">
        <f>IF(R107=10,0,$O$188)*IF(Main!$Q$23,1,0)*IF($A107&lt;Main!$S$29,1,0)</f>
        <v>0</v>
      </c>
    </row>
    <row r="108" spans="1:20" x14ac:dyDescent="0.3">
      <c r="A108">
        <v>2.6</v>
      </c>
      <c r="B108" s="48">
        <f>Main!$B$18</f>
        <v>1.171664943123061</v>
      </c>
      <c r="C108">
        <f>1/SQRT((1-Calculation!$B$21/Calculation!$B$19*((1/'Frequency Data'!$A108)^2-1))^2+(Calculation!$B$3*'Frequency Data'!$A108*Calculation!$B$21/Calculation!$B$11*(1-(1/'Frequency Data'!$A108)^2))^2)</f>
        <v>0.80638278257054496</v>
      </c>
      <c r="D108">
        <f>1/SQRT((1-Calculation!$D$21/Calculation!$D$19*((1/'Frequency Data'!$A108)^2-1))^2+(Calculation!$D$3*'Frequency Data'!$A108*Calculation!$D$21/Calculation!$D$11*(1-(1/'Frequency Data'!$A108)^2))^2)</f>
        <v>0.62985112001492072</v>
      </c>
      <c r="E108" s="48">
        <f>Main!$B$19</f>
        <v>0.94069505396750086</v>
      </c>
      <c r="F108" s="48"/>
      <c r="G108" s="63">
        <f>IF(A108&lt;Main!$K$23,0,Main!$B$18)*IF(A108&lt;Main!$L$23,1,0)</f>
        <v>0</v>
      </c>
      <c r="H108" s="63">
        <f>IF(A108&lt;Main!$K$24,0,Main!$B$18)*IF(A108&lt;Main!$L$24,1,0)</f>
        <v>0</v>
      </c>
      <c r="J108">
        <f>IF(A108&gt;Main!$K$23,ABS(C108-$E108),10)</f>
        <v>0.1343122713969559</v>
      </c>
      <c r="L108">
        <f>IF(A108&gt;Main!$K$23,ABS(D108-E108),10)</f>
        <v>0.31084393395258014</v>
      </c>
      <c r="N108">
        <f>IF($A108&gt;Main!Q$28,ABS(O108-$E108),10)</f>
        <v>0.33941164765351939</v>
      </c>
      <c r="O108">
        <f>1/SQRT((1-Calculation!$D$21/Calculation!$D$19*((1/'Frequency Data'!$A108)^2-1))^2+(Calculation!$D$3*'Frequency Data'!$A108*Calculation!$D$21/Calculation!$G$11*(1-(1/'Frequency Data'!$A108)^2))^2)*IF(Main!$Q$23,1,0)</f>
        <v>0.60128340631398147</v>
      </c>
      <c r="P108">
        <f>IF(N108=10,0,$O$188)*IF(Main!$Q$23,1,0)*IF($A108&lt;Main!$S$28,1,0)</f>
        <v>0</v>
      </c>
      <c r="R108">
        <f>IF($A108&gt;Main!Q$29,ABS(S108-$E108),10)</f>
        <v>0.50125648378064036</v>
      </c>
      <c r="S108">
        <f>1/SQRT((1-Calculation!$D$21/Calculation!$D$19*((1/'Frequency Data'!$A108)^2-1))^2+(Calculation!$D$3*'Frequency Data'!$A108*Calculation!$D$21/Calculation!$H$11*(1-(1/'Frequency Data'!$A108)^2))^2)*IF(Main!$Q$24,1,0)</f>
        <v>0.43943857018686044</v>
      </c>
      <c r="T108">
        <f>IF(R108=10,0,$O$188)*IF(Main!$Q$23,1,0)*IF($A108&lt;Main!$S$29,1,0)</f>
        <v>0</v>
      </c>
    </row>
    <row r="109" spans="1:20" x14ac:dyDescent="0.3">
      <c r="A109">
        <v>2.7</v>
      </c>
      <c r="B109" s="48">
        <f>Main!$B$18</f>
        <v>1.171664943123061</v>
      </c>
      <c r="C109">
        <f>1/SQRT((1-Calculation!$B$21/Calculation!$B$19*((1/'Frequency Data'!$A109)^2-1))^2+(Calculation!$B$3*'Frequency Data'!$A109*Calculation!$B$21/Calculation!$B$11*(1-(1/'Frequency Data'!$A109)^2))^2)</f>
        <v>0.79528119838613187</v>
      </c>
      <c r="D109">
        <f>1/SQRT((1-Calculation!$D$21/Calculation!$D$19*((1/'Frequency Data'!$A109)^2-1))^2+(Calculation!$D$3*'Frequency Data'!$A109*Calculation!$D$21/Calculation!$D$11*(1-(1/'Frequency Data'!$A109)^2))^2)</f>
        <v>0.61440500233344131</v>
      </c>
      <c r="E109" s="48">
        <f>Main!$B$19</f>
        <v>0.94069505396750086</v>
      </c>
      <c r="F109" s="48"/>
      <c r="G109" s="63">
        <f>IF(A109&lt;Main!$K$23,0,Main!$B$18)*IF(A109&lt;Main!$L$23,1,0)</f>
        <v>0</v>
      </c>
      <c r="H109" s="63">
        <f>IF(A109&lt;Main!$K$24,0,Main!$B$18)*IF(A109&lt;Main!$L$24,1,0)</f>
        <v>0</v>
      </c>
      <c r="J109">
        <f>IF(A109&gt;Main!$K$23,ABS(C109-$E109),10)</f>
        <v>0.14541385558136899</v>
      </c>
      <c r="L109">
        <f>IF(A109&gt;Main!$K$23,ABS(D109-E109),10)</f>
        <v>0.32629005163405955</v>
      </c>
      <c r="N109">
        <f>IF($A109&gt;Main!Q$28,ABS(O109-$E109),10)</f>
        <v>0.3555103674347404</v>
      </c>
      <c r="O109">
        <f>1/SQRT((1-Calculation!$D$21/Calculation!$D$19*((1/'Frequency Data'!$A109)^2-1))^2+(Calculation!$D$3*'Frequency Data'!$A109*Calculation!$D$21/Calculation!$G$11*(1-(1/'Frequency Data'!$A109)^2))^2)*IF(Main!$Q$23,1,0)</f>
        <v>0.58518468653276046</v>
      </c>
      <c r="P109">
        <f>IF(N109=10,0,$O$188)*IF(Main!$Q$23,1,0)*IF($A109&lt;Main!$S$28,1,0)</f>
        <v>0</v>
      </c>
      <c r="R109">
        <f>IF($A109&gt;Main!Q$29,ABS(S109-$E109),10)</f>
        <v>0.51766505317970357</v>
      </c>
      <c r="S109">
        <f>1/SQRT((1-Calculation!$D$21/Calculation!$D$19*((1/'Frequency Data'!$A109)^2-1))^2+(Calculation!$D$3*'Frequency Data'!$A109*Calculation!$D$21/Calculation!$H$11*(1-(1/'Frequency Data'!$A109)^2))^2)*IF(Main!$Q$24,1,0)</f>
        <v>0.42303000078779723</v>
      </c>
      <c r="T109">
        <f>IF(R109=10,0,$O$188)*IF(Main!$Q$23,1,0)*IF($A109&lt;Main!$S$29,1,0)</f>
        <v>0</v>
      </c>
    </row>
    <row r="110" spans="1:20" x14ac:dyDescent="0.3">
      <c r="A110">
        <v>2.8</v>
      </c>
      <c r="B110" s="48">
        <f>Main!$B$18</f>
        <v>1.171664943123061</v>
      </c>
      <c r="C110">
        <f>1/SQRT((1-Calculation!$B$21/Calculation!$B$19*((1/'Frequency Data'!$A110)^2-1))^2+(Calculation!$B$3*'Frequency Data'!$A110*Calculation!$B$21/Calculation!$B$11*(1-(1/'Frequency Data'!$A110)^2))^2)</f>
        <v>0.78426865321781147</v>
      </c>
      <c r="D110">
        <f>1/SQRT((1-Calculation!$D$21/Calculation!$D$19*((1/'Frequency Data'!$A110)^2-1))^2+(Calculation!$D$3*'Frequency Data'!$A110*Calculation!$D$21/Calculation!$D$11*(1-(1/'Frequency Data'!$A110)^2))^2)</f>
        <v>0.59955346803384668</v>
      </c>
      <c r="E110" s="48">
        <f>Main!$B$19</f>
        <v>0.94069505396750086</v>
      </c>
      <c r="F110" s="48"/>
      <c r="G110" s="63">
        <f>IF(A110&lt;Main!$K$23,0,Main!$B$18)*IF(A110&lt;Main!$L$23,1,0)</f>
        <v>0</v>
      </c>
      <c r="H110" s="63">
        <f>IF(A110&lt;Main!$K$24,0,Main!$B$18)*IF(A110&lt;Main!$L$24,1,0)</f>
        <v>0</v>
      </c>
      <c r="J110">
        <f>IF(A110&gt;Main!$K$23,ABS(C110-$E110),10)</f>
        <v>0.15642640074968939</v>
      </c>
      <c r="L110">
        <f>IF(A110&gt;Main!$K$23,ABS(D110-E110),10)</f>
        <v>0.34114158593365418</v>
      </c>
      <c r="N110">
        <f>IF($A110&gt;Main!Q$28,ABS(O110-$E110),10)</f>
        <v>0.37089898724127102</v>
      </c>
      <c r="O110">
        <f>1/SQRT((1-Calculation!$D$21/Calculation!$D$19*((1/'Frequency Data'!$A110)^2-1))^2+(Calculation!$D$3*'Frequency Data'!$A110*Calculation!$D$21/Calculation!$G$11*(1-(1/'Frequency Data'!$A110)^2))^2)*IF(Main!$Q$23,1,0)</f>
        <v>0.56979606672622984</v>
      </c>
      <c r="P110">
        <f>IF(N110=10,0,$O$188)*IF(Main!$Q$23,1,0)*IF($A110&lt;Main!$S$28,1,0)</f>
        <v>0</v>
      </c>
      <c r="R110">
        <f>IF($A110&gt;Main!Q$29,ABS(S110-$E110),10)</f>
        <v>0.53290560710944734</v>
      </c>
      <c r="S110">
        <f>1/SQRT((1-Calculation!$D$21/Calculation!$D$19*((1/'Frequency Data'!$A110)^2-1))^2+(Calculation!$D$3*'Frequency Data'!$A110*Calculation!$D$21/Calculation!$H$11*(1-(1/'Frequency Data'!$A110)^2))^2)*IF(Main!$Q$24,1,0)</f>
        <v>0.40778944685805357</v>
      </c>
      <c r="T110">
        <f>IF(R110=10,0,$O$188)*IF(Main!$Q$23,1,0)*IF($A110&lt;Main!$S$29,1,0)</f>
        <v>0</v>
      </c>
    </row>
    <row r="111" spans="1:20" x14ac:dyDescent="0.3">
      <c r="A111">
        <v>2.9</v>
      </c>
      <c r="B111" s="48">
        <f>Main!$B$18</f>
        <v>1.171664943123061</v>
      </c>
      <c r="C111">
        <f>1/SQRT((1-Calculation!$B$21/Calculation!$B$19*((1/'Frequency Data'!$A111)^2-1))^2+(Calculation!$B$3*'Frequency Data'!$A111*Calculation!$B$21/Calculation!$B$11*(1-(1/'Frequency Data'!$A111)^2))^2)</f>
        <v>0.77335535135710642</v>
      </c>
      <c r="D111">
        <f>1/SQRT((1-Calculation!$D$21/Calculation!$D$19*((1/'Frequency Data'!$A111)^2-1))^2+(Calculation!$D$3*'Frequency Data'!$A111*Calculation!$D$21/Calculation!$D$11*(1-(1/'Frequency Data'!$A111)^2))^2)</f>
        <v>0.58527171904692799</v>
      </c>
      <c r="E111" s="48">
        <f>Main!$B$19</f>
        <v>0.94069505396750086</v>
      </c>
      <c r="F111" s="48"/>
      <c r="G111" s="63">
        <f>IF(A111&lt;Main!$K$23,0,Main!$B$18)*IF(A111&lt;Main!$L$23,1,0)</f>
        <v>0</v>
      </c>
      <c r="H111" s="63">
        <f>IF(A111&lt;Main!$K$24,0,Main!$B$18)*IF(A111&lt;Main!$L$24,1,0)</f>
        <v>0</v>
      </c>
      <c r="J111">
        <f>IF(A111&gt;Main!$K$23,ABS(C111-$E111),10)</f>
        <v>0.16733970261039444</v>
      </c>
      <c r="L111">
        <f>IF(A111&gt;Main!$K$23,ABS(D111-E111),10)</f>
        <v>0.35542333492057288</v>
      </c>
      <c r="N111">
        <f>IF($A111&gt;Main!Q$28,ABS(O111-$E111),10)</f>
        <v>0.38561431337367658</v>
      </c>
      <c r="O111">
        <f>1/SQRT((1-Calculation!$D$21/Calculation!$D$19*((1/'Frequency Data'!$A111)^2-1))^2+(Calculation!$D$3*'Frequency Data'!$A111*Calculation!$D$21/Calculation!$G$11*(1-(1/'Frequency Data'!$A111)^2))^2)*IF(Main!$Q$23,1,0)</f>
        <v>0.55508074059382428</v>
      </c>
      <c r="P111">
        <f>IF(N111=10,0,$O$188)*IF(Main!$Q$23,1,0)*IF($A111&lt;Main!$S$28,1,0)</f>
        <v>0</v>
      </c>
      <c r="R111">
        <f>IF($A111&gt;Main!Q$29,ABS(S111-$E111),10)</f>
        <v>0.54709564420939683</v>
      </c>
      <c r="S111">
        <f>1/SQRT((1-Calculation!$D$21/Calculation!$D$19*((1/'Frequency Data'!$A111)^2-1))^2+(Calculation!$D$3*'Frequency Data'!$A111*Calculation!$D$21/Calculation!$H$11*(1-(1/'Frequency Data'!$A111)^2))^2)*IF(Main!$Q$24,1,0)</f>
        <v>0.39359940975810409</v>
      </c>
      <c r="T111">
        <f>IF(R111=10,0,$O$188)*IF(Main!$Q$23,1,0)*IF($A111&lt;Main!$S$29,1,0)</f>
        <v>0</v>
      </c>
    </row>
    <row r="112" spans="1:20" x14ac:dyDescent="0.3">
      <c r="A112">
        <v>3</v>
      </c>
      <c r="B112" s="48">
        <f>Main!$B$18</f>
        <v>1.171664943123061</v>
      </c>
      <c r="C112">
        <f>1/SQRT((1-Calculation!$B$21/Calculation!$B$19*((1/'Frequency Data'!$A112)^2-1))^2+(Calculation!$B$3*'Frequency Data'!$A112*Calculation!$B$21/Calculation!$B$11*(1-(1/'Frequency Data'!$A112)^2))^2)</f>
        <v>0.76255092380403611</v>
      </c>
      <c r="D112">
        <f>1/SQRT((1-Calculation!$D$21/Calculation!$D$19*((1/'Frequency Data'!$A112)^2-1))^2+(Calculation!$D$3*'Frequency Data'!$A112*Calculation!$D$21/Calculation!$D$11*(1-(1/'Frequency Data'!$A112)^2))^2)</f>
        <v>0.57153576328363931</v>
      </c>
      <c r="E112" s="48">
        <f>Main!$B$19</f>
        <v>0.94069505396750086</v>
      </c>
      <c r="F112" s="48"/>
      <c r="G112" s="63">
        <f>IF(A112&lt;Main!$K$23,0,Main!$B$18)*IF(A112&lt;Main!$L$23,1,0)</f>
        <v>0</v>
      </c>
      <c r="H112" s="63">
        <f>IF(A112&lt;Main!$K$24,0,Main!$B$18)*IF(A112&lt;Main!$L$24,1,0)</f>
        <v>0</v>
      </c>
      <c r="J112">
        <f>IF(A112&gt;Main!$K$23,ABS(C112-$E112),10)</f>
        <v>0.17814413016346475</v>
      </c>
      <c r="L112">
        <f>IF(A112&gt;Main!$K$23,ABS(D112-E112),10)</f>
        <v>0.36915929068386155</v>
      </c>
      <c r="N112">
        <f>IF($A112&gt;Main!Q$28,ABS(O112-$E112),10)</f>
        <v>0.39969146110258214</v>
      </c>
      <c r="O112">
        <f>1/SQRT((1-Calculation!$D$21/Calculation!$D$19*((1/'Frequency Data'!$A112)^2-1))^2+(Calculation!$D$3*'Frequency Data'!$A112*Calculation!$D$21/Calculation!$G$11*(1-(1/'Frequency Data'!$A112)^2))^2)*IF(Main!$Q$23,1,0)</f>
        <v>0.54100359286491873</v>
      </c>
      <c r="P112">
        <f>IF(N112=10,0,$O$188)*IF(Main!$Q$23,1,0)*IF($A112&lt;Main!$S$28,1,0)</f>
        <v>0</v>
      </c>
      <c r="R112">
        <f>IF($A112&gt;Main!Q$29,ABS(S112-$E112),10)</f>
        <v>0.56033804419726707</v>
      </c>
      <c r="S112">
        <f>1/SQRT((1-Calculation!$D$21/Calculation!$D$19*((1/'Frequency Data'!$A112)^2-1))^2+(Calculation!$D$3*'Frequency Data'!$A112*Calculation!$D$21/Calculation!$H$11*(1-(1/'Frequency Data'!$A112)^2))^2)*IF(Main!$Q$24,1,0)</f>
        <v>0.38035700977023379</v>
      </c>
      <c r="T112">
        <f>IF(R112=10,0,$O$188)*IF(Main!$Q$23,1,0)*IF($A112&lt;Main!$S$29,1,0)</f>
        <v>0</v>
      </c>
    </row>
    <row r="113" spans="1:20" x14ac:dyDescent="0.3">
      <c r="A113">
        <v>3.1</v>
      </c>
      <c r="B113" s="48">
        <f>Main!$B$18</f>
        <v>1.171664943123061</v>
      </c>
      <c r="C113">
        <f>1/SQRT((1-Calculation!$B$21/Calculation!$B$19*((1/'Frequency Data'!$A113)^2-1))^2+(Calculation!$B$3*'Frequency Data'!$A113*Calculation!$B$21/Calculation!$B$11*(1-(1/'Frequency Data'!$A113)^2))^2)</f>
        <v>0.7518642857184058</v>
      </c>
      <c r="D113">
        <f>1/SQRT((1-Calculation!$D$21/Calculation!$D$19*((1/'Frequency Data'!$A113)^2-1))^2+(Calculation!$D$3*'Frequency Data'!$A113*Calculation!$D$21/Calculation!$D$11*(1-(1/'Frequency Data'!$A113)^2))^2)</f>
        <v>0.55832236692706472</v>
      </c>
      <c r="E113" s="48">
        <f>Main!$B$19</f>
        <v>0.94069505396750086</v>
      </c>
      <c r="F113" s="48"/>
      <c r="G113" s="63">
        <f>IF(A113&lt;Main!$K$23,0,Main!$B$18)*IF(A113&lt;Main!$L$23,1,0)</f>
        <v>0</v>
      </c>
      <c r="H113" s="63">
        <f>IF(A113&lt;Main!$K$24,0,Main!$B$18)*IF(A113&lt;Main!$L$24,1,0)</f>
        <v>0</v>
      </c>
      <c r="J113">
        <f>IF(A113&gt;Main!$K$23,ABS(C113-$E113),10)</f>
        <v>0.18883076824909506</v>
      </c>
      <c r="L113">
        <f>IF(A113&gt;Main!$K$23,ABS(D113-E113),10)</f>
        <v>0.38237268704043614</v>
      </c>
      <c r="N113">
        <f>IF($A113&gt;Main!Q$28,ABS(O113-$E113),10)</f>
        <v>0.41316387572053104</v>
      </c>
      <c r="O113">
        <f>1/SQRT((1-Calculation!$D$21/Calculation!$D$19*((1/'Frequency Data'!$A113)^2-1))^2+(Calculation!$D$3*'Frequency Data'!$A113*Calculation!$D$21/Calculation!$G$11*(1-(1/'Frequency Data'!$A113)^2))^2)*IF(Main!$Q$23,1,0)</f>
        <v>0.52753117824696982</v>
      </c>
      <c r="P113">
        <f>IF(N113=10,0,$O$188)*IF(Main!$Q$23,1,0)*IF($A113&lt;Main!$S$28,1,0)</f>
        <v>0</v>
      </c>
      <c r="R113">
        <f>IF($A113&gt;Main!Q$29,ABS(S113-$E113),10)</f>
        <v>0.57272312415418036</v>
      </c>
      <c r="S113">
        <f>1/SQRT((1-Calculation!$D$21/Calculation!$D$19*((1/'Frequency Data'!$A113)^2-1))^2+(Calculation!$D$3*'Frequency Data'!$A113*Calculation!$D$21/Calculation!$H$11*(1-(1/'Frequency Data'!$A113)^2))^2)*IF(Main!$Q$24,1,0)</f>
        <v>0.3679719298133205</v>
      </c>
      <c r="T113">
        <f>IF(R113=10,0,$O$188)*IF(Main!$Q$23,1,0)*IF($A113&lt;Main!$S$29,1,0)</f>
        <v>0</v>
      </c>
    </row>
    <row r="114" spans="1:20" x14ac:dyDescent="0.3">
      <c r="A114">
        <v>3.2</v>
      </c>
      <c r="B114" s="48">
        <f>Main!$B$18</f>
        <v>1.171664943123061</v>
      </c>
      <c r="C114">
        <f>1/SQRT((1-Calculation!$B$21/Calculation!$B$19*((1/'Frequency Data'!$A114)^2-1))^2+(Calculation!$B$3*'Frequency Data'!$A114*Calculation!$B$21/Calculation!$B$11*(1-(1/'Frequency Data'!$A114)^2))^2)</f>
        <v>0.74130355053435804</v>
      </c>
      <c r="D114">
        <f>1/SQRT((1-Calculation!$D$21/Calculation!$D$19*((1/'Frequency Data'!$A114)^2-1))^2+(Calculation!$D$3*'Frequency Data'!$A114*Calculation!$D$21/Calculation!$D$11*(1-(1/'Frequency Data'!$A114)^2))^2)</f>
        <v>0.54560903974938157</v>
      </c>
      <c r="E114" s="48">
        <f>Main!$B$19</f>
        <v>0.94069505396750086</v>
      </c>
      <c r="F114" s="48"/>
      <c r="G114" s="63">
        <f>IF(A114&lt;Main!$K$23,0,Main!$B$18)*IF(A114&lt;Main!$L$23,1,0)</f>
        <v>0</v>
      </c>
      <c r="H114" s="63">
        <f>IF(A114&lt;Main!$K$24,0,Main!$B$18)*IF(A114&lt;Main!$L$24,1,0)</f>
        <v>0</v>
      </c>
      <c r="J114">
        <f>IF(A114&gt;Main!$K$23,ABS(C114-$E114),10)</f>
        <v>0.19939150343314282</v>
      </c>
      <c r="L114">
        <f>IF(A114&gt;Main!$K$23,ABS(D114-E114),10)</f>
        <v>0.39508601421811929</v>
      </c>
      <c r="N114">
        <f>IF($A114&gt;Main!Q$28,ABS(O114-$E114),10)</f>
        <v>0.42606335638140902</v>
      </c>
      <c r="O114">
        <f>1/SQRT((1-Calculation!$D$21/Calculation!$D$19*((1/'Frequency Data'!$A114)^2-1))^2+(Calculation!$D$3*'Frequency Data'!$A114*Calculation!$D$21/Calculation!$G$11*(1-(1/'Frequency Data'!$A114)^2))^2)*IF(Main!$Q$23,1,0)</f>
        <v>0.51463169758609184</v>
      </c>
      <c r="P114">
        <f>IF(N114=10,0,$O$188)*IF(Main!$Q$23,1,0)*IF($A114&lt;Main!$S$28,1,0)</f>
        <v>0</v>
      </c>
      <c r="R114">
        <f>IF($A114&gt;Main!Q$29,ABS(S114-$E114),10)</f>
        <v>0.58433039714899082</v>
      </c>
      <c r="S114">
        <f>1/SQRT((1-Calculation!$D$21/Calculation!$D$19*((1/'Frequency Data'!$A114)^2-1))^2+(Calculation!$D$3*'Frequency Data'!$A114*Calculation!$D$21/Calculation!$H$11*(1-(1/'Frequency Data'!$A114)^2))^2)*IF(Main!$Q$24,1,0)</f>
        <v>0.35636465681850998</v>
      </c>
      <c r="T114">
        <f>IF(R114=10,0,$O$188)*IF(Main!$Q$23,1,0)*IF($A114&lt;Main!$S$29,1,0)</f>
        <v>0</v>
      </c>
    </row>
    <row r="115" spans="1:20" x14ac:dyDescent="0.3">
      <c r="A115">
        <v>3.3</v>
      </c>
      <c r="B115" s="48">
        <f>Main!$B$18</f>
        <v>1.171664943123061</v>
      </c>
      <c r="C115">
        <f>1/SQRT((1-Calculation!$B$21/Calculation!$B$19*((1/'Frequency Data'!$A115)^2-1))^2+(Calculation!$B$3*'Frequency Data'!$A115*Calculation!$B$21/Calculation!$B$11*(1-(1/'Frequency Data'!$A115)^2))^2)</f>
        <v>0.73087598611725624</v>
      </c>
      <c r="D115">
        <f>1/SQRT((1-Calculation!$D$21/Calculation!$D$19*((1/'Frequency Data'!$A115)^2-1))^2+(Calculation!$D$3*'Frequency Data'!$A115*Calculation!$D$21/Calculation!$D$11*(1-(1/'Frequency Data'!$A115)^2))^2)</f>
        <v>0.53337403734152544</v>
      </c>
      <c r="E115" s="48">
        <f>Main!$B$19</f>
        <v>0.94069505396750086</v>
      </c>
      <c r="F115" s="48"/>
      <c r="G115" s="63">
        <f>IF(A115&lt;Main!$K$23,0,Main!$B$18)*IF(A115&lt;Main!$L$23,1,0)</f>
        <v>0</v>
      </c>
      <c r="H115" s="63">
        <f>IF(A115&lt;Main!$K$24,0,Main!$B$18)*IF(A115&lt;Main!$L$24,1,0)</f>
        <v>0</v>
      </c>
      <c r="J115">
        <f>IF(A115&gt;Main!$K$23,ABS(C115-$E115),10)</f>
        <v>0.20981906785024462</v>
      </c>
      <c r="L115">
        <f>IF(A115&gt;Main!$K$23,ABS(D115-E115),10)</f>
        <v>0.40732101662597542</v>
      </c>
      <c r="N115">
        <f>IF($A115&gt;Main!Q$28,ABS(O115-$E115),10)</f>
        <v>0.43842008643822117</v>
      </c>
      <c r="O115">
        <f>1/SQRT((1-Calculation!$D$21/Calculation!$D$19*((1/'Frequency Data'!$A115)^2-1))^2+(Calculation!$D$3*'Frequency Data'!$A115*Calculation!$D$21/Calculation!$G$11*(1-(1/'Frequency Data'!$A115)^2))^2)*IF(Main!$Q$23,1,0)</f>
        <v>0.50227496752927969</v>
      </c>
      <c r="P115">
        <f>IF(N115=10,0,$O$188)*IF(Main!$Q$23,1,0)*IF($A115&lt;Main!$S$28,1,0)</f>
        <v>0</v>
      </c>
      <c r="R115">
        <f>IF($A115&gt;Main!Q$29,ABS(S115-$E115),10)</f>
        <v>0.59523006976576531</v>
      </c>
      <c r="S115">
        <f>1/SQRT((1-Calculation!$D$21/Calculation!$D$19*((1/'Frequency Data'!$A115)^2-1))^2+(Calculation!$D$3*'Frequency Data'!$A115*Calculation!$D$21/Calculation!$H$11*(1-(1/'Frequency Data'!$A115)^2))^2)*IF(Main!$Q$24,1,0)</f>
        <v>0.34546498420173555</v>
      </c>
      <c r="T115">
        <f>IF(R115=10,0,$O$188)*IF(Main!$Q$23,1,0)*IF($A115&lt;Main!$S$29,1,0)</f>
        <v>0</v>
      </c>
    </row>
    <row r="116" spans="1:20" x14ac:dyDescent="0.3">
      <c r="A116">
        <v>3.4</v>
      </c>
      <c r="B116" s="48">
        <f>Main!$B$18</f>
        <v>1.171664943123061</v>
      </c>
      <c r="C116">
        <f>1/SQRT((1-Calculation!$B$21/Calculation!$B$19*((1/'Frequency Data'!$A116)^2-1))^2+(Calculation!$B$3*'Frequency Data'!$A116*Calculation!$B$21/Calculation!$B$11*(1-(1/'Frequency Data'!$A116)^2))^2)</f>
        <v>0.72058800190464312</v>
      </c>
      <c r="D116">
        <f>1/SQRT((1-Calculation!$D$21/Calculation!$D$19*((1/'Frequency Data'!$A116)^2-1))^2+(Calculation!$D$3*'Frequency Data'!$A116*Calculation!$D$21/Calculation!$D$11*(1-(1/'Frequency Data'!$A116)^2))^2)</f>
        <v>0.52159637021755612</v>
      </c>
      <c r="E116" s="48">
        <f>Main!$B$19</f>
        <v>0.94069505396750086</v>
      </c>
      <c r="F116" s="48"/>
      <c r="G116" s="63">
        <f>IF(A116&lt;Main!$K$23,0,Main!$B$18)*IF(A116&lt;Main!$L$23,1,0)</f>
        <v>0</v>
      </c>
      <c r="H116" s="63">
        <f>IF(A116&lt;Main!$K$24,0,Main!$B$18)*IF(A116&lt;Main!$L$24,1,0)</f>
        <v>0</v>
      </c>
      <c r="J116">
        <f>IF(A116&gt;Main!$K$23,ABS(C116-$E116),10)</f>
        <v>0.22010705206285774</v>
      </c>
      <c r="L116">
        <f>IF(A116&gt;Main!$K$23,ABS(D116-E116),10)</f>
        <v>0.41909868374994474</v>
      </c>
      <c r="N116">
        <f>IF($A116&gt;Main!Q$28,ABS(O116-$E116),10)</f>
        <v>0.45026267142476412</v>
      </c>
      <c r="O116">
        <f>1/SQRT((1-Calculation!$D$21/Calculation!$D$19*((1/'Frequency Data'!$A116)^2-1))^2+(Calculation!$D$3*'Frequency Data'!$A116*Calculation!$D$21/Calculation!$G$11*(1-(1/'Frequency Data'!$A116)^2))^2)*IF(Main!$Q$23,1,0)</f>
        <v>0.49043238254273674</v>
      </c>
      <c r="P116">
        <f>IF(N116=10,0,$O$188)*IF(Main!$Q$23,1,0)*IF($A116&lt;Main!$S$28,1,0)</f>
        <v>0</v>
      </c>
      <c r="R116">
        <f>IF($A116&gt;Main!Q$29,ABS(S116-$E116),10)</f>
        <v>0.60548431488271559</v>
      </c>
      <c r="S116">
        <f>1/SQRT((1-Calculation!$D$21/Calculation!$D$19*((1/'Frequency Data'!$A116)^2-1))^2+(Calculation!$D$3*'Frequency Data'!$A116*Calculation!$D$21/Calculation!$H$11*(1-(1/'Frequency Data'!$A116)^2))^2)*IF(Main!$Q$24,1,0)</f>
        <v>0.33521073908478521</v>
      </c>
      <c r="T116">
        <f>IF(R116=10,0,$O$188)*IF(Main!$Q$23,1,0)*IF($A116&lt;Main!$S$29,1,0)</f>
        <v>0</v>
      </c>
    </row>
    <row r="117" spans="1:20" x14ac:dyDescent="0.3">
      <c r="A117">
        <v>3.5</v>
      </c>
      <c r="B117" s="48">
        <f>Main!$B$18</f>
        <v>1.171664943123061</v>
      </c>
      <c r="C117">
        <f>1/SQRT((1-Calculation!$B$21/Calculation!$B$19*((1/'Frequency Data'!$A117)^2-1))^2+(Calculation!$B$3*'Frequency Data'!$A117*Calculation!$B$21/Calculation!$B$11*(1-(1/'Frequency Data'!$A117)^2))^2)</f>
        <v>0.71044515861460145</v>
      </c>
      <c r="D117">
        <f>1/SQRT((1-Calculation!$D$21/Calculation!$D$19*((1/'Frequency Data'!$A117)^2-1))^2+(Calculation!$D$3*'Frequency Data'!$A117*Calculation!$D$21/Calculation!$D$11*(1-(1/'Frequency Data'!$A117)^2))^2)</f>
        <v>0.51025581377265772</v>
      </c>
      <c r="E117" s="48">
        <f>Main!$B$19</f>
        <v>0.94069505396750086</v>
      </c>
      <c r="F117" s="48"/>
      <c r="G117" s="63">
        <f>IF(A117&lt;Main!$K$23,0,Main!$B$18)*IF(A117&lt;Main!$L$23,1,0)</f>
        <v>0</v>
      </c>
      <c r="H117" s="63">
        <f>IF(A117&lt;Main!$K$24,0,Main!$B$18)*IF(A117&lt;Main!$L$24,1,0)</f>
        <v>0</v>
      </c>
      <c r="J117">
        <f>IF(A117&gt;Main!$K$23,ABS(C117-$E117),10)</f>
        <v>0.23024989535289941</v>
      </c>
      <c r="L117">
        <f>IF(A117&gt;Main!$K$23,ABS(D117-E117),10)</f>
        <v>0.43043924019484314</v>
      </c>
      <c r="N117">
        <f>IF($A117&gt;Main!Q$28,ABS(O117-$E117),10)</f>
        <v>0.4616181843890535</v>
      </c>
      <c r="O117">
        <f>1/SQRT((1-Calculation!$D$21/Calculation!$D$19*((1/'Frequency Data'!$A117)^2-1))^2+(Calculation!$D$3*'Frequency Data'!$A117*Calculation!$D$21/Calculation!$G$11*(1-(1/'Frequency Data'!$A117)^2))^2)*IF(Main!$Q$23,1,0)</f>
        <v>0.47907686957844736</v>
      </c>
      <c r="P117">
        <f>IF(N117=10,0,$O$188)*IF(Main!$Q$23,1,0)*IF($A117&lt;Main!$S$28,1,0)</f>
        <v>0</v>
      </c>
      <c r="R117">
        <f>IF($A117&gt;Main!Q$29,ABS(S117-$E117),10)</f>
        <v>0.615148353128256</v>
      </c>
      <c r="S117">
        <f>1/SQRT((1-Calculation!$D$21/Calculation!$D$19*((1/'Frequency Data'!$A117)^2-1))^2+(Calculation!$D$3*'Frequency Data'!$A117*Calculation!$D$21/Calculation!$H$11*(1-(1/'Frequency Data'!$A117)^2))^2)*IF(Main!$Q$24,1,0)</f>
        <v>0.32554670083924492</v>
      </c>
      <c r="T117">
        <f>IF(R117=10,0,$O$188)*IF(Main!$Q$23,1,0)*IF($A117&lt;Main!$S$29,1,0)</f>
        <v>0</v>
      </c>
    </row>
    <row r="118" spans="1:20" x14ac:dyDescent="0.3">
      <c r="A118">
        <v>3.6</v>
      </c>
      <c r="B118" s="48">
        <f>Main!$B$18</f>
        <v>1.171664943123061</v>
      </c>
      <c r="C118">
        <f>1/SQRT((1-Calculation!$B$21/Calculation!$B$19*((1/'Frequency Data'!$A118)^2-1))^2+(Calculation!$B$3*'Frequency Data'!$A118*Calculation!$B$21/Calculation!$B$11*(1-(1/'Frequency Data'!$A118)^2))^2)</f>
        <v>0.70045219408911918</v>
      </c>
      <c r="D118">
        <f>1/SQRT((1-Calculation!$D$21/Calculation!$D$19*((1/'Frequency Data'!$A118)^2-1))^2+(Calculation!$D$3*'Frequency Data'!$A118*Calculation!$D$21/Calculation!$D$11*(1-(1/'Frequency Data'!$A118)^2))^2)</f>
        <v>0.49933291570123484</v>
      </c>
      <c r="E118" s="48">
        <f>Main!$B$19</f>
        <v>0.94069505396750086</v>
      </c>
      <c r="F118" s="48"/>
      <c r="G118" s="63">
        <f>IF(A118&lt;Main!$K$23,0,Main!$B$18)*IF(A118&lt;Main!$L$23,1,0)</f>
        <v>0</v>
      </c>
      <c r="H118" s="63">
        <f>IF(A118&lt;Main!$K$24,0,Main!$B$18)*IF(A118&lt;Main!$L$24,1,0)</f>
        <v>0</v>
      </c>
      <c r="J118">
        <f>IF(A118&gt;Main!$K$23,ABS(C118-$E118),10)</f>
        <v>0.24024285987838168</v>
      </c>
      <c r="L118">
        <f>IF(A118&gt;Main!$K$23,ABS(D118-E118),10)</f>
        <v>0.44136213826626602</v>
      </c>
      <c r="N118">
        <f>IF($A118&gt;Main!Q$28,ABS(O118-$E118),10)</f>
        <v>0.47251221755168588</v>
      </c>
      <c r="O118">
        <f>1/SQRT((1-Calculation!$D$21/Calculation!$D$19*((1/'Frequency Data'!$A118)^2-1))^2+(Calculation!$D$3*'Frequency Data'!$A118*Calculation!$D$21/Calculation!$G$11*(1-(1/'Frequency Data'!$A118)^2))^2)*IF(Main!$Q$23,1,0)</f>
        <v>0.46818283641581498</v>
      </c>
      <c r="P118">
        <f>IF(N118=10,0,$O$188)*IF(Main!$Q$23,1,0)*IF($A118&lt;Main!$S$28,1,0)</f>
        <v>0</v>
      </c>
      <c r="R118">
        <f>IF($A118&gt;Main!Q$29,ABS(S118-$E118),10)</f>
        <v>0.62427137250926312</v>
      </c>
      <c r="S118">
        <f>1/SQRT((1-Calculation!$D$21/Calculation!$D$19*((1/'Frequency Data'!$A118)^2-1))^2+(Calculation!$D$3*'Frequency Data'!$A118*Calculation!$D$21/Calculation!$H$11*(1-(1/'Frequency Data'!$A118)^2))^2)*IF(Main!$Q$24,1,0)</f>
        <v>0.31642368145823774</v>
      </c>
      <c r="T118">
        <f>IF(R118=10,0,$O$188)*IF(Main!$Q$23,1,0)*IF($A118&lt;Main!$S$29,1,0)</f>
        <v>0</v>
      </c>
    </row>
    <row r="119" spans="1:20" x14ac:dyDescent="0.3">
      <c r="A119">
        <v>3.7</v>
      </c>
      <c r="B119" s="48">
        <f>Main!$B$18</f>
        <v>1.171664943123061</v>
      </c>
      <c r="C119">
        <f>1/SQRT((1-Calculation!$B$21/Calculation!$B$19*((1/'Frequency Data'!$A119)^2-1))^2+(Calculation!$B$3*'Frequency Data'!$A119*Calculation!$B$21/Calculation!$B$11*(1-(1/'Frequency Data'!$A119)^2))^2)</f>
        <v>0.69061306034744407</v>
      </c>
      <c r="D119">
        <f>1/SQRT((1-Calculation!$D$21/Calculation!$D$19*((1/'Frequency Data'!$A119)^2-1))^2+(Calculation!$D$3*'Frequency Data'!$A119*Calculation!$D$21/Calculation!$D$11*(1-(1/'Frequency Data'!$A119)^2))^2)</f>
        <v>0.48880899917297216</v>
      </c>
      <c r="E119" s="48">
        <f>Main!$B$19</f>
        <v>0.94069505396750086</v>
      </c>
      <c r="F119" s="48"/>
      <c r="G119" s="63">
        <f>IF(A119&lt;Main!$K$23,0,Main!$B$18)*IF(A119&lt;Main!$L$23,1,0)</f>
        <v>0</v>
      </c>
      <c r="H119" s="63">
        <f>IF(A119&lt;Main!$K$24,0,Main!$B$18)*IF(A119&lt;Main!$L$24,1,0)</f>
        <v>0</v>
      </c>
      <c r="J119">
        <f>IF(A119&gt;Main!$K$23,ABS(C119-$E119),10)</f>
        <v>0.25008199362005679</v>
      </c>
      <c r="L119">
        <f>IF(A119&gt;Main!$K$23,ABS(D119-E119),10)</f>
        <v>0.4518860547945287</v>
      </c>
      <c r="N119">
        <f>IF($A119&gt;Main!Q$28,ABS(O119-$E119),10)</f>
        <v>0.48296893895508503</v>
      </c>
      <c r="O119">
        <f>1/SQRT((1-Calculation!$D$21/Calculation!$D$19*((1/'Frequency Data'!$A119)^2-1))^2+(Calculation!$D$3*'Frequency Data'!$A119*Calculation!$D$21/Calculation!$G$11*(1-(1/'Frequency Data'!$A119)^2))^2)*IF(Main!$Q$23,1,0)</f>
        <v>0.45772611501241584</v>
      </c>
      <c r="P119">
        <f>IF(N119=10,0,$O$188)*IF(Main!$Q$23,1,0)*IF($A119&lt;Main!$S$28,1,0)</f>
        <v>0</v>
      </c>
      <c r="R119">
        <f>IF($A119&gt;Main!Q$29,ABS(S119-$E119),10)</f>
        <v>0.63289731162504848</v>
      </c>
      <c r="S119">
        <f>1/SQRT((1-Calculation!$D$21/Calculation!$D$19*((1/'Frequency Data'!$A119)^2-1))^2+(Calculation!$D$3*'Frequency Data'!$A119*Calculation!$D$21/Calculation!$H$11*(1-(1/'Frequency Data'!$A119)^2))^2)*IF(Main!$Q$24,1,0)</f>
        <v>0.30779774234245233</v>
      </c>
      <c r="T119">
        <f>IF(R119=10,0,$O$188)*IF(Main!$Q$23,1,0)*IF($A119&lt;Main!$S$29,1,0)</f>
        <v>0</v>
      </c>
    </row>
    <row r="120" spans="1:20" x14ac:dyDescent="0.3">
      <c r="A120">
        <v>3.8</v>
      </c>
      <c r="B120" s="48">
        <f>Main!$B$18</f>
        <v>1.171664943123061</v>
      </c>
      <c r="C120">
        <f>1/SQRT((1-Calculation!$B$21/Calculation!$B$19*((1/'Frequency Data'!$A120)^2-1))^2+(Calculation!$B$3*'Frequency Data'!$A120*Calculation!$B$21/Calculation!$B$11*(1-(1/'Frequency Data'!$A120)^2))^2)</f>
        <v>0.68093096808036413</v>
      </c>
      <c r="D120">
        <f>1/SQRT((1-Calculation!$D$21/Calculation!$D$19*((1/'Frequency Data'!$A120)^2-1))^2+(Calculation!$D$3*'Frequency Data'!$A120*Calculation!$D$21/Calculation!$D$11*(1-(1/'Frequency Data'!$A120)^2))^2)</f>
        <v>0.47866616112815846</v>
      </c>
      <c r="E120" s="48">
        <f>Main!$B$19</f>
        <v>0.94069505396750086</v>
      </c>
      <c r="F120" s="48"/>
      <c r="G120" s="63">
        <f>IF(A120&lt;Main!$K$23,0,Main!$B$18)*IF(A120&lt;Main!$L$23,1,0)</f>
        <v>0</v>
      </c>
      <c r="H120" s="63">
        <f>IF(A120&lt;Main!$K$24,0,Main!$B$18)*IF(A120&lt;Main!$L$24,1,0)</f>
        <v>0</v>
      </c>
      <c r="J120">
        <f>IF(A120&gt;Main!$K$23,ABS(C120-$E120),10)</f>
        <v>0.25976408588713673</v>
      </c>
      <c r="L120">
        <f>IF(A120&gt;Main!$K$23,ABS(D120-E120),10)</f>
        <v>0.4620288928393424</v>
      </c>
      <c r="N120">
        <f>IF($A120&gt;Main!Q$28,ABS(O120-$E120),10)</f>
        <v>0.49301115271289786</v>
      </c>
      <c r="O120">
        <f>1/SQRT((1-Calculation!$D$21/Calculation!$D$19*((1/'Frequency Data'!$A120)^2-1))^2+(Calculation!$D$3*'Frequency Data'!$A120*Calculation!$D$21/Calculation!$G$11*(1-(1/'Frequency Data'!$A120)^2))^2)*IF(Main!$Q$23,1,0)</f>
        <v>0.447683901254603</v>
      </c>
      <c r="P120">
        <f>IF(N120=10,0,$O$188)*IF(Main!$Q$23,1,0)*IF($A120&lt;Main!$S$28,1,0)</f>
        <v>0</v>
      </c>
      <c r="R120">
        <f>IF($A120&gt;Main!Q$29,ABS(S120-$E120),10)</f>
        <v>0.64106552805280703</v>
      </c>
      <c r="S120">
        <f>1/SQRT((1-Calculation!$D$21/Calculation!$D$19*((1/'Frequency Data'!$A120)^2-1))^2+(Calculation!$D$3*'Frequency Data'!$A120*Calculation!$D$21/Calculation!$H$11*(1-(1/'Frequency Data'!$A120)^2))^2)*IF(Main!$Q$24,1,0)</f>
        <v>0.29962952591469377</v>
      </c>
      <c r="T120">
        <f>IF(R120=10,0,$O$188)*IF(Main!$Q$23,1,0)*IF($A120&lt;Main!$S$29,1,0)</f>
        <v>0</v>
      </c>
    </row>
    <row r="121" spans="1:20" x14ac:dyDescent="0.3">
      <c r="A121">
        <v>3.9</v>
      </c>
      <c r="B121" s="48">
        <f>Main!$B$18</f>
        <v>1.171664943123061</v>
      </c>
      <c r="C121">
        <f>1/SQRT((1-Calculation!$B$21/Calculation!$B$19*((1/'Frequency Data'!$A121)^2-1))^2+(Calculation!$B$3*'Frequency Data'!$A121*Calculation!$B$21/Calculation!$B$11*(1-(1/'Frequency Data'!$A121)^2))^2)</f>
        <v>0.67140843570953646</v>
      </c>
      <c r="D121">
        <f>1/SQRT((1-Calculation!$D$21/Calculation!$D$19*((1/'Frequency Data'!$A121)^2-1))^2+(Calculation!$D$3*'Frequency Data'!$A121*Calculation!$D$21/Calculation!$D$11*(1-(1/'Frequency Data'!$A121)^2))^2)</f>
        <v>0.46888726569869965</v>
      </c>
      <c r="E121" s="48">
        <f>Main!$B$19</f>
        <v>0.94069505396750086</v>
      </c>
      <c r="F121" s="48"/>
      <c r="G121" s="63">
        <f>IF(A121&lt;Main!$K$23,0,Main!$B$18)*IF(A121&lt;Main!$L$23,1,0)</f>
        <v>0</v>
      </c>
      <c r="H121" s="63">
        <f>IF(A121&lt;Main!$K$24,0,Main!$B$18)*IF(A121&lt;Main!$L$24,1,0)</f>
        <v>0</v>
      </c>
      <c r="J121">
        <f>IF(A121&gt;Main!$K$23,ABS(C121-$E121),10)</f>
        <v>0.26928661825796441</v>
      </c>
      <c r="L121">
        <f>IF(A121&gt;Main!$K$23,ABS(D121-E121),10)</f>
        <v>0.47180778826880121</v>
      </c>
      <c r="N121">
        <f>IF($A121&gt;Main!Q$28,ABS(O121-$E121),10)</f>
        <v>0.50266036155058202</v>
      </c>
      <c r="O121">
        <f>1/SQRT((1-Calculation!$D$21/Calculation!$D$19*((1/'Frequency Data'!$A121)^2-1))^2+(Calculation!$D$3*'Frequency Data'!$A121*Calculation!$D$21/Calculation!$G$11*(1-(1/'Frequency Data'!$A121)^2))^2)*IF(Main!$Q$23,1,0)</f>
        <v>0.43803469241691878</v>
      </c>
      <c r="P121">
        <f>IF(N121=10,0,$O$188)*IF(Main!$Q$23,1,0)*IF($A121&lt;Main!$S$28,1,0)</f>
        <v>0</v>
      </c>
      <c r="R121">
        <f>IF($A121&gt;Main!Q$29,ABS(S121-$E121),10)</f>
        <v>0.6488113700819258</v>
      </c>
      <c r="S121">
        <f>1/SQRT((1-Calculation!$D$21/Calculation!$D$19*((1/'Frequency Data'!$A121)^2-1))^2+(Calculation!$D$3*'Frequency Data'!$A121*Calculation!$D$21/Calculation!$H$11*(1-(1/'Frequency Data'!$A121)^2))^2)*IF(Main!$Q$24,1,0)</f>
        <v>0.29188368388557512</v>
      </c>
      <c r="T121">
        <f>IF(R121=10,0,$O$188)*IF(Main!$Q$23,1,0)*IF($A121&lt;Main!$S$29,1,0)</f>
        <v>0</v>
      </c>
    </row>
    <row r="122" spans="1:20" x14ac:dyDescent="0.3">
      <c r="A122">
        <v>4</v>
      </c>
      <c r="B122" s="48">
        <f>Main!$B$18</f>
        <v>1.171664943123061</v>
      </c>
      <c r="C122">
        <f>1/SQRT((1-Calculation!$B$21/Calculation!$B$19*((1/'Frequency Data'!$A122)^2-1))^2+(Calculation!$B$3*'Frequency Data'!$A122*Calculation!$B$21/Calculation!$B$11*(1-(1/'Frequency Data'!$A122)^2))^2)</f>
        <v>0.66204734083007655</v>
      </c>
      <c r="D122">
        <f>1/SQRT((1-Calculation!$D$21/Calculation!$D$19*((1/'Frequency Data'!$A122)^2-1))^2+(Calculation!$D$3*'Frequency Data'!$A122*Calculation!$D$21/Calculation!$D$11*(1-(1/'Frequency Data'!$A122)^2))^2)</f>
        <v>0.4594559331305671</v>
      </c>
      <c r="E122" s="48">
        <f>Main!$B$19</f>
        <v>0.94069505396750086</v>
      </c>
      <c r="F122" s="48"/>
      <c r="G122" s="63">
        <f>IF(A122&lt;Main!$K$23,0,Main!$B$18)*IF(A122&lt;Main!$L$23,1,0)</f>
        <v>0</v>
      </c>
      <c r="H122" s="63">
        <f>IF(A122&lt;Main!$K$24,0,Main!$B$18)*IF(A122&lt;Main!$L$24,1,0)</f>
        <v>0</v>
      </c>
      <c r="J122">
        <f>IF(A122&gt;Main!$K$23,ABS(C122-$E122),10)</f>
        <v>0.27864771313742431</v>
      </c>
      <c r="L122">
        <f>IF(A122&gt;Main!$K$23,ABS(D122-E122),10)</f>
        <v>0.48123912083693376</v>
      </c>
      <c r="N122">
        <f>IF($A122&gt;Main!Q$28,ABS(O122-$E122),10)</f>
        <v>0.51193683047872995</v>
      </c>
      <c r="O122">
        <f>1/SQRT((1-Calculation!$D$21/Calculation!$D$19*((1/'Frequency Data'!$A122)^2-1))^2+(Calculation!$D$3*'Frequency Data'!$A122*Calculation!$D$21/Calculation!$G$11*(1-(1/'Frequency Data'!$A122)^2))^2)*IF(Main!$Q$23,1,0)</f>
        <v>0.42875822348877085</v>
      </c>
      <c r="P122">
        <f>IF(N122=10,0,$O$188)*IF(Main!$Q$23,1,0)*IF($A122&lt;Main!$S$28,1,0)</f>
        <v>0</v>
      </c>
      <c r="R122">
        <f>IF($A122&gt;Main!Q$29,ABS(S122-$E122),10)</f>
        <v>0.65616666702795823</v>
      </c>
      <c r="S122">
        <f>1/SQRT((1-Calculation!$D$21/Calculation!$D$19*((1/'Frequency Data'!$A122)^2-1))^2+(Calculation!$D$3*'Frequency Data'!$A122*Calculation!$D$21/Calculation!$H$11*(1-(1/'Frequency Data'!$A122)^2))^2)*IF(Main!$Q$24,1,0)</f>
        <v>0.28452838693954258</v>
      </c>
      <c r="T122">
        <f>IF(R122=10,0,$O$188)*IF(Main!$Q$23,1,0)*IF($A122&lt;Main!$S$29,1,0)</f>
        <v>0</v>
      </c>
    </row>
    <row r="123" spans="1:20" x14ac:dyDescent="0.3">
      <c r="A123">
        <v>4.0999999999999996</v>
      </c>
      <c r="B123" s="48">
        <f>Main!$B$18</f>
        <v>1.171664943123061</v>
      </c>
      <c r="C123">
        <f>1/SQRT((1-Calculation!$B$21/Calculation!$B$19*((1/'Frequency Data'!$A123)^2-1))^2+(Calculation!$B$3*'Frequency Data'!$A123*Calculation!$B$21/Calculation!$B$11*(1-(1/'Frequency Data'!$A123)^2))^2)</f>
        <v>0.65284897239612127</v>
      </c>
      <c r="D123">
        <f>1/SQRT((1-Calculation!$D$21/Calculation!$D$19*((1/'Frequency Data'!$A123)^2-1))^2+(Calculation!$D$3*'Frequency Data'!$A123*Calculation!$D$21/Calculation!$D$11*(1-(1/'Frequency Data'!$A123)^2))^2)</f>
        <v>0.45035652477355709</v>
      </c>
      <c r="E123" s="48">
        <f>Main!$B$19</f>
        <v>0.94069505396750086</v>
      </c>
      <c r="F123" s="48"/>
      <c r="G123" s="63">
        <f>IF(A123&lt;Main!$K$23,0,Main!$B$18)*IF(A123&lt;Main!$L$23,1,0)</f>
        <v>0</v>
      </c>
      <c r="H123" s="63">
        <f>IF(A123&lt;Main!$K$24,0,Main!$B$18)*IF(A123&lt;Main!$L$24,1,0)</f>
        <v>0</v>
      </c>
      <c r="J123">
        <f>IF(A123&gt;Main!$K$23,ABS(C123-$E123),10)</f>
        <v>0.28784608157137959</v>
      </c>
      <c r="L123">
        <f>IF(A123&gt;Main!$K$23,ABS(D123-E123),10)</f>
        <v>0.49033852919394377</v>
      </c>
      <c r="N123">
        <f>IF($A123&gt;Main!Q$28,ABS(O123-$E123),10)</f>
        <v>0.5208596506176596</v>
      </c>
      <c r="O123">
        <f>1/SQRT((1-Calculation!$D$21/Calculation!$D$19*((1/'Frequency Data'!$A123)^2-1))^2+(Calculation!$D$3*'Frequency Data'!$A123*Calculation!$D$21/Calculation!$G$11*(1-(1/'Frequency Data'!$A123)^2))^2)*IF(Main!$Q$23,1,0)</f>
        <v>0.41983540334984126</v>
      </c>
      <c r="P123">
        <f>IF(N123=10,0,$O$188)*IF(Main!$Q$23,1,0)*IF($A123&lt;Main!$S$28,1,0)</f>
        <v>0</v>
      </c>
      <c r="R123">
        <f>IF($A123&gt;Main!Q$29,ABS(S123-$E123),10)</f>
        <v>0.66316015085473201</v>
      </c>
      <c r="S123">
        <f>1/SQRT((1-Calculation!$D$21/Calculation!$D$19*((1/'Frequency Data'!$A123)^2-1))^2+(Calculation!$D$3*'Frequency Data'!$A123*Calculation!$D$21/Calculation!$H$11*(1-(1/'Frequency Data'!$A123)^2))^2)*IF(Main!$Q$24,1,0)</f>
        <v>0.2775349031127689</v>
      </c>
      <c r="T123">
        <f>IF(R123=10,0,$O$188)*IF(Main!$Q$23,1,0)*IF($A123&lt;Main!$S$29,1,0)</f>
        <v>0</v>
      </c>
    </row>
    <row r="124" spans="1:20" x14ac:dyDescent="0.3">
      <c r="A124">
        <v>4.2</v>
      </c>
      <c r="B124" s="48">
        <f>Main!$B$18</f>
        <v>1.171664943123061</v>
      </c>
      <c r="C124">
        <f>1/SQRT((1-Calculation!$B$21/Calculation!$B$19*((1/'Frequency Data'!$A124)^2-1))^2+(Calculation!$B$3*'Frequency Data'!$A124*Calculation!$B$21/Calculation!$B$11*(1-(1/'Frequency Data'!$A124)^2))^2)</f>
        <v>0.64381408243242322</v>
      </c>
      <c r="D124">
        <f>1/SQRT((1-Calculation!$D$21/Calculation!$D$19*((1/'Frequency Data'!$A124)^2-1))^2+(Calculation!$D$3*'Frequency Data'!$A124*Calculation!$D$21/Calculation!$D$11*(1-(1/'Frequency Data'!$A124)^2))^2)</f>
        <v>0.44157412478043018</v>
      </c>
      <c r="E124" s="48">
        <f>Main!$B$19</f>
        <v>0.94069505396750086</v>
      </c>
      <c r="F124" s="48"/>
      <c r="G124" s="63">
        <f>IF(A124&lt;Main!$K$23,0,Main!$B$18)*IF(A124&lt;Main!$L$23,1,0)</f>
        <v>0</v>
      </c>
      <c r="H124" s="63">
        <f>IF(A124&lt;Main!$K$24,0,Main!$B$18)*IF(A124&lt;Main!$L$24,1,0)</f>
        <v>0</v>
      </c>
      <c r="J124">
        <f>IF(A124&gt;Main!$K$23,ABS(C124-$E124),10)</f>
        <v>0.29688097153507764</v>
      </c>
      <c r="L124">
        <f>IF(A124&gt;Main!$K$23,ABS(D124-E124),10)</f>
        <v>0.49912092918707068</v>
      </c>
      <c r="N124">
        <f>IF($A124&gt;Main!Q$28,ABS(O124-$E124),10)</f>
        <v>0.52944680237062991</v>
      </c>
      <c r="O124">
        <f>1/SQRT((1-Calculation!$D$21/Calculation!$D$19*((1/'Frequency Data'!$A124)^2-1))^2+(Calculation!$D$3*'Frequency Data'!$A124*Calculation!$D$21/Calculation!$G$11*(1-(1/'Frequency Data'!$A124)^2))^2)*IF(Main!$Q$23,1,0)</f>
        <v>0.41124825159687095</v>
      </c>
      <c r="P124">
        <f>IF(N124=10,0,$O$188)*IF(Main!$Q$23,1,0)*IF($A124&lt;Main!$S$28,1,0)</f>
        <v>0</v>
      </c>
      <c r="R124">
        <f>IF($A124&gt;Main!Q$29,ABS(S124-$E124),10)</f>
        <v>0.6698178197311756</v>
      </c>
      <c r="S124">
        <f>1/SQRT((1-Calculation!$D$21/Calculation!$D$19*((1/'Frequency Data'!$A124)^2-1))^2+(Calculation!$D$3*'Frequency Data'!$A124*Calculation!$D$21/Calculation!$H$11*(1-(1/'Frequency Data'!$A124)^2))^2)*IF(Main!$Q$24,1,0)</f>
        <v>0.27087723423632526</v>
      </c>
      <c r="T124">
        <f>IF(R124=10,0,$O$188)*IF(Main!$Q$23,1,0)*IF($A124&lt;Main!$S$29,1,0)</f>
        <v>0</v>
      </c>
    </row>
    <row r="125" spans="1:20" x14ac:dyDescent="0.3">
      <c r="A125">
        <v>4.3</v>
      </c>
      <c r="B125" s="48">
        <f>Main!$B$18</f>
        <v>1.171664943123061</v>
      </c>
      <c r="C125">
        <f>1/SQRT((1-Calculation!$B$21/Calculation!$B$19*((1/'Frequency Data'!$A125)^2-1))^2+(Calculation!$B$3*'Frequency Data'!$A125*Calculation!$B$21/Calculation!$B$11*(1-(1/'Frequency Data'!$A125)^2))^2)</f>
        <v>0.6349429363861584</v>
      </c>
      <c r="D125">
        <f>1/SQRT((1-Calculation!$D$21/Calculation!$D$19*((1/'Frequency Data'!$A125)^2-1))^2+(Calculation!$D$3*'Frequency Data'!$A125*Calculation!$D$21/Calculation!$D$11*(1-(1/'Frequency Data'!$A125)^2))^2)</f>
        <v>0.43309451916347957</v>
      </c>
      <c r="E125" s="48">
        <f>Main!$B$19</f>
        <v>0.94069505396750086</v>
      </c>
      <c r="F125" s="48"/>
      <c r="G125" s="63">
        <f>IF(A125&lt;Main!$K$23,0,Main!$B$18)*IF(A125&lt;Main!$L$23,1,0)</f>
        <v>0</v>
      </c>
      <c r="H125" s="63">
        <f>IF(A125&lt;Main!$K$24,0,Main!$B$18)*IF(A125&lt;Main!$L$24,1,0)</f>
        <v>0</v>
      </c>
      <c r="J125">
        <f>IF(A125&gt;Main!$K$23,ABS(C125-$E125),10)</f>
        <v>0.30575211758134246</v>
      </c>
      <c r="L125">
        <f>IF(A125&gt;Main!$K$23,ABS(D125-E125),10)</f>
        <v>0.50760053480402134</v>
      </c>
      <c r="N125">
        <f>IF($A125&gt;Main!Q$28,ABS(O125-$E125),10)</f>
        <v>0.53771521731021665</v>
      </c>
      <c r="O125">
        <f>1/SQRT((1-Calculation!$D$21/Calculation!$D$19*((1/'Frequency Data'!$A125)^2-1))^2+(Calculation!$D$3*'Frequency Data'!$A125*Calculation!$D$21/Calculation!$G$11*(1-(1/'Frequency Data'!$A125)^2))^2)*IF(Main!$Q$23,1,0)</f>
        <v>0.40297983665728415</v>
      </c>
      <c r="P125">
        <f>IF(N125=10,0,$O$188)*IF(Main!$Q$23,1,0)*IF($A125&lt;Main!$S$28,1,0)</f>
        <v>0</v>
      </c>
      <c r="R125">
        <f>IF($A125&gt;Main!Q$29,ABS(S125-$E125),10)</f>
        <v>0.67616325239573305</v>
      </c>
      <c r="S125">
        <f>1/SQRT((1-Calculation!$D$21/Calculation!$D$19*((1/'Frequency Data'!$A125)^2-1))^2+(Calculation!$D$3*'Frequency Data'!$A125*Calculation!$D$21/Calculation!$H$11*(1-(1/'Frequency Data'!$A125)^2))^2)*IF(Main!$Q$24,1,0)</f>
        <v>0.26453180157176776</v>
      </c>
      <c r="T125">
        <f>IF(R125=10,0,$O$188)*IF(Main!$Q$23,1,0)*IF($A125&lt;Main!$S$29,1,0)</f>
        <v>0</v>
      </c>
    </row>
    <row r="126" spans="1:20" x14ac:dyDescent="0.3">
      <c r="A126">
        <v>4.4000000000000004</v>
      </c>
      <c r="B126" s="48">
        <f>Main!$B$18</f>
        <v>1.171664943123061</v>
      </c>
      <c r="C126">
        <f>1/SQRT((1-Calculation!$B$21/Calculation!$B$19*((1/'Frequency Data'!$A126)^2-1))^2+(Calculation!$B$3*'Frequency Data'!$A126*Calculation!$B$21/Calculation!$B$11*(1-(1/'Frequency Data'!$A126)^2))^2)</f>
        <v>0.62623536149176295</v>
      </c>
      <c r="D126">
        <f>1/SQRT((1-Calculation!$D$21/Calculation!$D$19*((1/'Frequency Data'!$A126)^2-1))^2+(Calculation!$D$3*'Frequency Data'!$A126*Calculation!$D$21/Calculation!$D$11*(1-(1/'Frequency Data'!$A126)^2))^2)</f>
        <v>0.42490417282142862</v>
      </c>
      <c r="E126" s="48">
        <f>Main!$B$19</f>
        <v>0.94069505396750086</v>
      </c>
      <c r="F126" s="48"/>
      <c r="G126" s="63">
        <f>IF(A126&lt;Main!$K$23,0,Main!$B$18)*IF(A126&lt;Main!$L$23,1,0)</f>
        <v>0</v>
      </c>
      <c r="H126" s="63">
        <f>IF(A126&lt;Main!$K$24,0,Main!$B$18)*IF(A126&lt;Main!$L$24,1,0)</f>
        <v>0</v>
      </c>
      <c r="J126">
        <f>IF(A126&gt;Main!$K$23,ABS(C126-$E126),10)</f>
        <v>0.31445969247573791</v>
      </c>
      <c r="L126">
        <f>IF(A126&gt;Main!$K$23,ABS(D126-E126),10)</f>
        <v>0.5157908811460723</v>
      </c>
      <c r="N126">
        <f>IF($A126&gt;Main!Q$28,ABS(O126-$E126),10)</f>
        <v>0.54568083829137071</v>
      </c>
      <c r="O126">
        <f>1/SQRT((1-Calculation!$D$21/Calculation!$D$19*((1/'Frequency Data'!$A126)^2-1))^2+(Calculation!$D$3*'Frequency Data'!$A126*Calculation!$D$21/Calculation!$G$11*(1-(1/'Frequency Data'!$A126)^2))^2)*IF(Main!$Q$23,1,0)</f>
        <v>0.3950142156761301</v>
      </c>
      <c r="P126">
        <f>IF(N126=10,0,$O$188)*IF(Main!$Q$23,1,0)*IF($A126&lt;Main!$S$28,1,0)</f>
        <v>0</v>
      </c>
      <c r="R126">
        <f>IF($A126&gt;Main!Q$29,ABS(S126-$E126),10)</f>
        <v>0.68221788074365319</v>
      </c>
      <c r="S126">
        <f>1/SQRT((1-Calculation!$D$21/Calculation!$D$19*((1/'Frequency Data'!$A126)^2-1))^2+(Calculation!$D$3*'Frequency Data'!$A126*Calculation!$D$21/Calculation!$H$11*(1-(1/'Frequency Data'!$A126)^2))^2)*IF(Main!$Q$24,1,0)</f>
        <v>0.25847717322384767</v>
      </c>
      <c r="T126">
        <f>IF(R126=10,0,$O$188)*IF(Main!$Q$23,1,0)*IF($A126&lt;Main!$S$29,1,0)</f>
        <v>0</v>
      </c>
    </row>
    <row r="127" spans="1:20" x14ac:dyDescent="0.3">
      <c r="A127">
        <v>4.5</v>
      </c>
      <c r="B127" s="48">
        <f>Main!$B$18</f>
        <v>1.171664943123061</v>
      </c>
      <c r="C127">
        <f>1/SQRT((1-Calculation!$B$21/Calculation!$B$19*((1/'Frequency Data'!$A127)^2-1))^2+(Calculation!$B$3*'Frequency Data'!$A127*Calculation!$B$21/Calculation!$B$11*(1-(1/'Frequency Data'!$A127)^2))^2)</f>
        <v>0.61769079272303318</v>
      </c>
      <c r="D127">
        <f>1/SQRT((1-Calculation!$D$21/Calculation!$D$19*((1/'Frequency Data'!$A127)^2-1))^2+(Calculation!$D$3*'Frequency Data'!$A127*Calculation!$D$21/Calculation!$D$11*(1-(1/'Frequency Data'!$A127)^2))^2)</f>
        <v>0.4169902050923453</v>
      </c>
      <c r="E127" s="48">
        <f>Main!$B$19</f>
        <v>0.94069505396750086</v>
      </c>
      <c r="F127" s="48"/>
      <c r="G127" s="63">
        <f>IF(A127&lt;Main!$K$23,0,Main!$B$18)*IF(A127&lt;Main!$L$23,1,0)</f>
        <v>0</v>
      </c>
      <c r="H127" s="63">
        <f>IF(A127&lt;Main!$K$24,0,Main!$B$18)*IF(A127&lt;Main!$L$24,1,0)</f>
        <v>0</v>
      </c>
      <c r="J127">
        <f>IF(A127&gt;Main!$K$23,ABS(C127-$E127),10)</f>
        <v>0.32300426124446768</v>
      </c>
      <c r="L127">
        <f>IF(A127&gt;Main!$K$23,ABS(D127-E127),10)</f>
        <v>0.52370484887515556</v>
      </c>
      <c r="N127">
        <f>IF($A127&gt;Main!Q$28,ABS(O127-$E127),10)</f>
        <v>0.55335867743310163</v>
      </c>
      <c r="O127">
        <f>1/SQRT((1-Calculation!$D$21/Calculation!$D$19*((1/'Frequency Data'!$A127)^2-1))^2+(Calculation!$D$3*'Frequency Data'!$A127*Calculation!$D$21/Calculation!$G$11*(1-(1/'Frequency Data'!$A127)^2))^2)*IF(Main!$Q$23,1,0)</f>
        <v>0.38733637653439917</v>
      </c>
      <c r="P127">
        <f>IF(N127=10,0,$O$188)*IF(Main!$Q$23,1,0)*IF($A127&lt;Main!$S$28,1,0)</f>
        <v>0</v>
      </c>
      <c r="R127">
        <f>IF($A127&gt;Main!Q$29,ABS(S127-$E127),10)</f>
        <v>0.6880012268434057</v>
      </c>
      <c r="S127">
        <f>1/SQRT((1-Calculation!$D$21/Calculation!$D$19*((1/'Frequency Data'!$A127)^2-1))^2+(Calculation!$D$3*'Frequency Data'!$A127*Calculation!$D$21/Calculation!$H$11*(1-(1/'Frequency Data'!$A127)^2))^2)*IF(Main!$Q$24,1,0)</f>
        <v>0.25269382712409511</v>
      </c>
      <c r="T127">
        <f>IF(R127=10,0,$O$188)*IF(Main!$Q$23,1,0)*IF($A127&lt;Main!$S$29,1,0)</f>
        <v>0</v>
      </c>
    </row>
    <row r="128" spans="1:20" x14ac:dyDescent="0.3">
      <c r="A128">
        <v>4.5999999999999996</v>
      </c>
      <c r="B128" s="48">
        <f>Main!$B$18</f>
        <v>1.171664943123061</v>
      </c>
      <c r="C128">
        <f>1/SQRT((1-Calculation!$B$21/Calculation!$B$19*((1/'Frequency Data'!$A128)^2-1))^2+(Calculation!$B$3*'Frequency Data'!$A128*Calculation!$B$21/Calculation!$B$11*(1-(1/'Frequency Data'!$A128)^2))^2)</f>
        <v>0.60930831606275737</v>
      </c>
      <c r="D128">
        <f>1/SQRT((1-Calculation!$D$21/Calculation!$D$19*((1/'Frequency Data'!$A128)^2-1))^2+(Calculation!$D$3*'Frequency Data'!$A128*Calculation!$D$21/Calculation!$D$11*(1-(1/'Frequency Data'!$A128)^2))^2)</f>
        <v>0.40934036432122489</v>
      </c>
      <c r="E128" s="48">
        <f>Main!$B$19</f>
        <v>0.94069505396750086</v>
      </c>
      <c r="F128" s="48"/>
      <c r="G128" s="63">
        <f>IF(A128&lt;Main!$K$23,0,Main!$B$18)*IF(A128&lt;Main!$L$23,1,0)</f>
        <v>0</v>
      </c>
      <c r="H128" s="63">
        <f>IF(A128&lt;Main!$K$24,0,Main!$B$18)*IF(A128&lt;Main!$L$24,1,0)</f>
        <v>0</v>
      </c>
      <c r="J128">
        <f>IF(A128&gt;Main!$K$23,ABS(C128-$E128),10)</f>
        <v>0.33138673790474349</v>
      </c>
      <c r="L128">
        <f>IF(A128&gt;Main!$K$23,ABS(D128-E128),10)</f>
        <v>0.53135468964627597</v>
      </c>
      <c r="N128">
        <f>IF($A128&gt;Main!Q$28,ABS(O128-$E128),10)</f>
        <v>0.56076287171867156</v>
      </c>
      <c r="O128">
        <f>1/SQRT((1-Calculation!$D$21/Calculation!$D$19*((1/'Frequency Data'!$A128)^2-1))^2+(Calculation!$D$3*'Frequency Data'!$A128*Calculation!$D$21/Calculation!$G$11*(1-(1/'Frequency Data'!$A128)^2))^2)*IF(Main!$Q$23,1,0)</f>
        <v>0.3799321822488293</v>
      </c>
      <c r="P128">
        <f>IF(N128=10,0,$O$188)*IF(Main!$Q$23,1,0)*IF($A128&lt;Main!$S$28,1,0)</f>
        <v>0</v>
      </c>
      <c r="R128">
        <f>IF($A128&gt;Main!Q$29,ABS(S128-$E128),10)</f>
        <v>0.69353110958623421</v>
      </c>
      <c r="S128">
        <f>1/SQRT((1-Calculation!$D$21/Calculation!$D$19*((1/'Frequency Data'!$A128)^2-1))^2+(Calculation!$D$3*'Frequency Data'!$A128*Calculation!$D$21/Calculation!$H$11*(1-(1/'Frequency Data'!$A128)^2))^2)*IF(Main!$Q$24,1,0)</f>
        <v>0.24716394438126671</v>
      </c>
      <c r="T128">
        <f>IF(R128=10,0,$O$188)*IF(Main!$Q$23,1,0)*IF($A128&lt;Main!$S$29,1,0)</f>
        <v>0</v>
      </c>
    </row>
    <row r="129" spans="1:20" x14ac:dyDescent="0.3">
      <c r="A129">
        <v>4.7</v>
      </c>
      <c r="B129" s="48">
        <f>Main!$B$18</f>
        <v>1.171664943123061</v>
      </c>
      <c r="C129">
        <f>1/SQRT((1-Calculation!$B$21/Calculation!$B$19*((1/'Frequency Data'!$A129)^2-1))^2+(Calculation!$B$3*'Frequency Data'!$A129*Calculation!$B$21/Calculation!$B$11*(1-(1/'Frequency Data'!$A129)^2))^2)</f>
        <v>0.60108670894019345</v>
      </c>
      <c r="D129">
        <f>1/SQRT((1-Calculation!$D$21/Calculation!$D$19*((1/'Frequency Data'!$A129)^2-1))^2+(Calculation!$D$3*'Frequency Data'!$A129*Calculation!$D$21/Calculation!$D$11*(1-(1/'Frequency Data'!$A129)^2))^2)</f>
        <v>0.40194300186173421</v>
      </c>
      <c r="E129" s="48">
        <f>Main!$B$19</f>
        <v>0.94069505396750086</v>
      </c>
      <c r="F129" s="48"/>
      <c r="G129" s="63">
        <f>IF(A129&lt;Main!$K$23,0,Main!$B$18)*IF(A129&lt;Main!$L$23,1,0)</f>
        <v>0</v>
      </c>
      <c r="H129" s="63">
        <f>IF(A129&lt;Main!$K$24,0,Main!$B$18)*IF(A129&lt;Main!$L$24,1,0)</f>
        <v>0</v>
      </c>
      <c r="J129">
        <f>IF(A129&gt;Main!$K$23,ABS(C129-$E129),10)</f>
        <v>0.33960834502730741</v>
      </c>
      <c r="L129">
        <f>IF(A129&gt;Main!$K$23,ABS(D129-E129),10)</f>
        <v>0.53875205210576671</v>
      </c>
      <c r="N129">
        <f>IF($A129&gt;Main!Q$28,ABS(O129-$E129),10)</f>
        <v>0.56790673605302533</v>
      </c>
      <c r="O129">
        <f>1/SQRT((1-Calculation!$D$21/Calculation!$D$19*((1/'Frequency Data'!$A129)^2-1))^2+(Calculation!$D$3*'Frequency Data'!$A129*Calculation!$D$21/Calculation!$G$11*(1-(1/'Frequency Data'!$A129)^2))^2)*IF(Main!$Q$23,1,0)</f>
        <v>0.37278831791447553</v>
      </c>
      <c r="P129">
        <f>IF(N129=10,0,$O$188)*IF(Main!$Q$23,1,0)*IF($A129&lt;Main!$S$28,1,0)</f>
        <v>0</v>
      </c>
      <c r="R129">
        <f>IF($A129&gt;Main!Q$29,ABS(S129-$E129),10)</f>
        <v>0.69882382534179821</v>
      </c>
      <c r="S129">
        <f>1/SQRT((1-Calculation!$D$21/Calculation!$D$19*((1/'Frequency Data'!$A129)^2-1))^2+(Calculation!$D$3*'Frequency Data'!$A129*Calculation!$D$21/Calculation!$H$11*(1-(1/'Frequency Data'!$A129)^2))^2)*IF(Main!$Q$24,1,0)</f>
        <v>0.24187122862570265</v>
      </c>
      <c r="T129">
        <f>IF(R129=10,0,$O$188)*IF(Main!$Q$23,1,0)*IF($A129&lt;Main!$S$29,1,0)</f>
        <v>0</v>
      </c>
    </row>
    <row r="130" spans="1:20" x14ac:dyDescent="0.3">
      <c r="A130">
        <v>4.8</v>
      </c>
      <c r="B130" s="48">
        <f>Main!$B$18</f>
        <v>1.171664943123061</v>
      </c>
      <c r="C130">
        <f>1/SQRT((1-Calculation!$B$21/Calculation!$B$19*((1/'Frequency Data'!$A130)^2-1))^2+(Calculation!$B$3*'Frequency Data'!$A130*Calculation!$B$21/Calculation!$B$11*(1-(1/'Frequency Data'!$A130)^2))^2)</f>
        <v>0.59302447777811351</v>
      </c>
      <c r="D130">
        <f>1/SQRT((1-Calculation!$D$21/Calculation!$D$19*((1/'Frequency Data'!$A130)^2-1))^2+(Calculation!$D$3*'Frequency Data'!$A130*Calculation!$D$21/Calculation!$D$11*(1-(1/'Frequency Data'!$A130)^2))^2)</f>
        <v>0.39478704586492036</v>
      </c>
      <c r="E130" s="48">
        <f>Main!$B$19</f>
        <v>0.94069505396750086</v>
      </c>
      <c r="F130" s="48"/>
      <c r="G130" s="63">
        <f>IF(A130&lt;Main!$K$23,0,Main!$B$18)*IF(A130&lt;Main!$L$23,1,0)</f>
        <v>0</v>
      </c>
      <c r="H130" s="63">
        <f>IF(A130&lt;Main!$K$24,0,Main!$B$18)*IF(A130&lt;Main!$L$24,1,0)</f>
        <v>0</v>
      </c>
      <c r="J130">
        <f>IF(A130&gt;Main!$K$23,ABS(C130-$E130),10)</f>
        <v>0.34767057618938735</v>
      </c>
      <c r="L130">
        <f>IF(A130&gt;Main!$K$23,ABS(D130-E130),10)</f>
        <v>0.54590800810258044</v>
      </c>
      <c r="N130">
        <f>IF($A130&gt;Main!Q$28,ABS(O130-$E130),10)</f>
        <v>0.57480281368797592</v>
      </c>
      <c r="O130">
        <f>1/SQRT((1-Calculation!$D$21/Calculation!$D$19*((1/'Frequency Data'!$A130)^2-1))^2+(Calculation!$D$3*'Frequency Data'!$A130*Calculation!$D$21/Calculation!$G$11*(1-(1/'Frequency Data'!$A130)^2))^2)*IF(Main!$Q$23,1,0)</f>
        <v>0.36589224027952499</v>
      </c>
      <c r="P130">
        <f>IF(N130=10,0,$O$188)*IF(Main!$Q$23,1,0)*IF($A130&lt;Main!$S$28,1,0)</f>
        <v>0</v>
      </c>
      <c r="R130">
        <f>IF($A130&gt;Main!Q$29,ABS(S130-$E130),10)</f>
        <v>0.70389430630308247</v>
      </c>
      <c r="S130">
        <f>1/SQRT((1-Calculation!$D$21/Calculation!$D$19*((1/'Frequency Data'!$A130)^2-1))^2+(Calculation!$D$3*'Frequency Data'!$A130*Calculation!$D$21/Calculation!$H$11*(1-(1/'Frequency Data'!$A130)^2))^2)*IF(Main!$Q$24,1,0)</f>
        <v>0.23680074766441839</v>
      </c>
      <c r="T130">
        <f>IF(R130=10,0,$O$188)*IF(Main!$Q$23,1,0)*IF($A130&lt;Main!$S$29,1,0)</f>
        <v>0</v>
      </c>
    </row>
    <row r="131" spans="1:20" x14ac:dyDescent="0.3">
      <c r="A131">
        <v>4.9000000000000004</v>
      </c>
      <c r="B131" s="48">
        <f>Main!$B$18</f>
        <v>1.171664943123061</v>
      </c>
      <c r="C131">
        <f>1/SQRT((1-Calculation!$B$21/Calculation!$B$19*((1/'Frequency Data'!$A131)^2-1))^2+(Calculation!$B$3*'Frequency Data'!$A131*Calculation!$B$21/Calculation!$B$11*(1-(1/'Frequency Data'!$A131)^2))^2)</f>
        <v>0.58511989265983133</v>
      </c>
      <c r="D131">
        <f>1/SQRT((1-Calculation!$D$21/Calculation!$D$19*((1/'Frequency Data'!$A131)^2-1))^2+(Calculation!$D$3*'Frequency Data'!$A131*Calculation!$D$21/Calculation!$D$11*(1-(1/'Frequency Data'!$A131)^2))^2)</f>
        <v>0.38786197514604465</v>
      </c>
      <c r="E131" s="48">
        <f>Main!$B$19</f>
        <v>0.94069505396750086</v>
      </c>
      <c r="F131" s="48"/>
      <c r="G131" s="63">
        <f>IF(A131&lt;Main!$K$23,0,Main!$B$18)*IF(A131&lt;Main!$L$23,1,0)</f>
        <v>0</v>
      </c>
      <c r="H131" s="63">
        <f>IF(A131&lt;Main!$K$24,0,Main!$B$18)*IF(A131&lt;Main!$L$24,1,0)</f>
        <v>0</v>
      </c>
      <c r="J131">
        <f>IF(A131&gt;Main!$K$23,ABS(C131-$E131),10)</f>
        <v>0.35557516130766953</v>
      </c>
      <c r="L131">
        <f>IF(A131&gt;Main!$K$23,ABS(D131-E131),10)</f>
        <v>0.55283307882145616</v>
      </c>
      <c r="N131">
        <f>IF($A131&gt;Main!Q$28,ABS(O131-$E131),10)</f>
        <v>0.58146292398264565</v>
      </c>
      <c r="O131">
        <f>1/SQRT((1-Calculation!$D$21/Calculation!$D$19*((1/'Frequency Data'!$A131)^2-1))^2+(Calculation!$D$3*'Frequency Data'!$A131*Calculation!$D$21/Calculation!$G$11*(1-(1/'Frequency Data'!$A131)^2))^2)*IF(Main!$Q$23,1,0)</f>
        <v>0.35923212998485521</v>
      </c>
      <c r="P131">
        <f>IF(N131=10,0,$O$188)*IF(Main!$Q$23,1,0)*IF($A131&lt;Main!$S$28,1,0)</f>
        <v>0</v>
      </c>
      <c r="R131">
        <f>IF($A131&gt;Main!Q$29,ABS(S131-$E131),10)</f>
        <v>0.70875625963039401</v>
      </c>
      <c r="S131">
        <f>1/SQRT((1-Calculation!$D$21/Calculation!$D$19*((1/'Frequency Data'!$A131)^2-1))^2+(Calculation!$D$3*'Frequency Data'!$A131*Calculation!$D$21/Calculation!$H$11*(1-(1/'Frequency Data'!$A131)^2))^2)*IF(Main!$Q$24,1,0)</f>
        <v>0.23193879433710682</v>
      </c>
      <c r="T131">
        <f>IF(R131=10,0,$O$188)*IF(Main!$Q$23,1,0)*IF($A131&lt;Main!$S$29,1,0)</f>
        <v>0</v>
      </c>
    </row>
    <row r="132" spans="1:20" x14ac:dyDescent="0.3">
      <c r="A132">
        <v>5</v>
      </c>
      <c r="B132" s="48">
        <f>Main!$B$18</f>
        <v>1.171664943123061</v>
      </c>
      <c r="C132">
        <f>1/SQRT((1-Calculation!$B$21/Calculation!$B$19*((1/'Frequency Data'!$A132)^2-1))^2+(Calculation!$B$3*'Frequency Data'!$A132*Calculation!$B$21/Calculation!$B$11*(1-(1/'Frequency Data'!$A132)^2))^2)</f>
        <v>0.5773710191773157</v>
      </c>
      <c r="D132">
        <f>1/SQRT((1-Calculation!$D$21/Calculation!$D$19*((1/'Frequency Data'!$A132)^2-1))^2+(Calculation!$D$3*'Frequency Data'!$A132*Calculation!$D$21/Calculation!$D$11*(1-(1/'Frequency Data'!$A132)^2))^2)</f>
        <v>0.38115779336537015</v>
      </c>
      <c r="E132" s="48">
        <f>Main!$B$19</f>
        <v>0.94069505396750086</v>
      </c>
      <c r="F132" s="48"/>
      <c r="G132" s="63">
        <f>IF(A132&lt;Main!$K$23,0,Main!$B$18)*IF(A132&lt;Main!$L$23,1,0)</f>
        <v>0</v>
      </c>
      <c r="H132" s="63">
        <f>IF(A132&lt;Main!$K$24,0,Main!$B$18)*IF(A132&lt;Main!$L$24,1,0)</f>
        <v>0</v>
      </c>
      <c r="J132">
        <f>IF(A132&gt;Main!$K$23,ABS(C132-$E132),10)</f>
        <v>0.36332403479018516</v>
      </c>
      <c r="L132">
        <f>IF(A132&gt;Main!$K$23,ABS(D132-E132),10)</f>
        <v>0.55953726060213071</v>
      </c>
      <c r="N132">
        <f>IF($A132&gt;Main!Q$28,ABS(O132-$E132),10)</f>
        <v>0.58789820751105748</v>
      </c>
      <c r="O132">
        <f>1/SQRT((1-Calculation!$D$21/Calculation!$D$19*((1/'Frequency Data'!$A132)^2-1))^2+(Calculation!$D$3*'Frequency Data'!$A132*Calculation!$D$21/Calculation!$G$11*(1-(1/'Frequency Data'!$A132)^2))^2)*IF(Main!$Q$23,1,0)</f>
        <v>0.35279684645644338</v>
      </c>
      <c r="P132">
        <f>IF(N132=10,0,$O$188)*IF(Main!$Q$23,1,0)*IF($A132&lt;Main!$S$28,1,0)</f>
        <v>0</v>
      </c>
      <c r="R132">
        <f>IF($A132&gt;Main!Q$29,ABS(S132-$E132),10)</f>
        <v>0.71342229002683766</v>
      </c>
      <c r="S132">
        <f>1/SQRT((1-Calculation!$D$21/Calculation!$D$19*((1/'Frequency Data'!$A132)^2-1))^2+(Calculation!$D$3*'Frequency Data'!$A132*Calculation!$D$21/Calculation!$H$11*(1-(1/'Frequency Data'!$A132)^2))^2)*IF(Main!$Q$24,1,0)</f>
        <v>0.22727276394066315</v>
      </c>
      <c r="T132">
        <f>IF(R132=10,0,$O$188)*IF(Main!$Q$23,1,0)*IF($A132&lt;Main!$S$29,1,0)</f>
        <v>0</v>
      </c>
    </row>
    <row r="133" spans="1:20" x14ac:dyDescent="0.3">
      <c r="A133">
        <v>5.0999999999999996</v>
      </c>
      <c r="B133" s="48">
        <f>Main!$B$18</f>
        <v>1.171664943123061</v>
      </c>
      <c r="C133">
        <f>1/SQRT((1-Calculation!$B$21/Calculation!$B$19*((1/'Frequency Data'!$A133)^2-1))^2+(Calculation!$B$3*'Frequency Data'!$A133*Calculation!$B$21/Calculation!$B$11*(1-(1/'Frequency Data'!$A133)^2))^2)</f>
        <v>0.56977574755794669</v>
      </c>
      <c r="D133">
        <f>1/SQRT((1-Calculation!$D$21/Calculation!$D$19*((1/'Frequency Data'!$A133)^2-1))^2+(Calculation!$D$3*'Frequency Data'!$A133*Calculation!$D$21/Calculation!$D$11*(1-(1/'Frequency Data'!$A133)^2))^2)</f>
        <v>0.37466500371011507</v>
      </c>
      <c r="E133" s="48">
        <f>Main!$B$19</f>
        <v>0.94069505396750086</v>
      </c>
      <c r="F133" s="48"/>
      <c r="G133" s="63">
        <f>IF(A133&lt;Main!$K$23,0,Main!$B$18)*IF(A133&lt;Main!$L$23,1,0)</f>
        <v>0</v>
      </c>
      <c r="H133" s="63">
        <f>IF(A133&lt;Main!$K$24,0,Main!$B$18)*IF(A133&lt;Main!$L$24,1,0)</f>
        <v>0</v>
      </c>
      <c r="J133">
        <f>IF(A133&gt;Main!$K$23,ABS(C133-$E133),10)</f>
        <v>0.37091930640955417</v>
      </c>
      <c r="L133">
        <f>IF(A133&gt;Main!$K$23,ABS(D133-E133),10)</f>
        <v>0.56603005025738584</v>
      </c>
      <c r="N133">
        <f>IF($A133&gt;Main!Q$28,ABS(O133-$E133),10)</f>
        <v>0.5941191685626499</v>
      </c>
      <c r="O133">
        <f>1/SQRT((1-Calculation!$D$21/Calculation!$D$19*((1/'Frequency Data'!$A133)^2-1))^2+(Calculation!$D$3*'Frequency Data'!$A133*Calculation!$D$21/Calculation!$G$11*(1-(1/'Frequency Data'!$A133)^2))^2)*IF(Main!$Q$23,1,0)</f>
        <v>0.3465758854048509</v>
      </c>
      <c r="P133">
        <f>IF(N133=10,0,$O$188)*IF(Main!$Q$23,1,0)*IF($A133&lt;Main!$S$28,1,0)</f>
        <v>0</v>
      </c>
      <c r="R133">
        <f>IF($A133&gt;Main!Q$29,ABS(S133-$E133),10)</f>
        <v>0.71790400797927401</v>
      </c>
      <c r="S133">
        <f>1/SQRT((1-Calculation!$D$21/Calculation!$D$19*((1/'Frequency Data'!$A133)^2-1))^2+(Calculation!$D$3*'Frequency Data'!$A133*Calculation!$D$21/Calculation!$H$11*(1-(1/'Frequency Data'!$A133)^2))^2)*IF(Main!$Q$24,1,0)</f>
        <v>0.22279104598822691</v>
      </c>
      <c r="T133">
        <f>IF(R133=10,0,$O$188)*IF(Main!$Q$23,1,0)*IF($A133&lt;Main!$S$29,1,0)</f>
        <v>0</v>
      </c>
    </row>
    <row r="134" spans="1:20" x14ac:dyDescent="0.3">
      <c r="A134">
        <v>5.2</v>
      </c>
      <c r="B134" s="48">
        <f>Main!$B$18</f>
        <v>1.171664943123061</v>
      </c>
      <c r="C134">
        <f>1/SQRT((1-Calculation!$B$21/Calculation!$B$19*((1/'Frequency Data'!$A134)^2-1))^2+(Calculation!$B$3*'Frequency Data'!$A134*Calculation!$B$21/Calculation!$B$11*(1-(1/'Frequency Data'!$A134)^2))^2)</f>
        <v>0.56233181919273711</v>
      </c>
      <c r="D134">
        <f>1/SQRT((1-Calculation!$D$21/Calculation!$D$19*((1/'Frequency Data'!$A134)^2-1))^2+(Calculation!$D$3*'Frequency Data'!$A134*Calculation!$D$21/Calculation!$D$11*(1-(1/'Frequency Data'!$A134)^2))^2)</f>
        <v>0.36837458422280034</v>
      </c>
      <c r="E134" s="48">
        <f>Main!$B$19</f>
        <v>0.94069505396750086</v>
      </c>
      <c r="F134" s="48"/>
      <c r="G134" s="63">
        <f>IF(A134&lt;Main!$K$23,0,Main!$B$18)*IF(A134&lt;Main!$L$23,1,0)</f>
        <v>0</v>
      </c>
      <c r="H134" s="63">
        <f>IF(A134&lt;Main!$K$24,0,Main!$B$18)*IF(A134&lt;Main!$L$24,1,0)</f>
        <v>0</v>
      </c>
      <c r="J134">
        <f>IF(A134&gt;Main!$K$23,ABS(C134-$E134),10)</f>
        <v>0.37836323477476375</v>
      </c>
      <c r="L134">
        <f>IF(A134&gt;Main!$K$23,ABS(D134-E134),10)</f>
        <v>0.57232046974470052</v>
      </c>
      <c r="N134">
        <f>IF($A134&gt;Main!Q$28,ABS(O134-$E134),10)</f>
        <v>0.60013571510670283</v>
      </c>
      <c r="O134">
        <f>1/SQRT((1-Calculation!$D$21/Calculation!$D$19*((1/'Frequency Data'!$A134)^2-1))^2+(Calculation!$D$3*'Frequency Data'!$A134*Calculation!$D$21/Calculation!$G$11*(1-(1/'Frequency Data'!$A134)^2))^2)*IF(Main!$Q$23,1,0)</f>
        <v>0.34055933886079798</v>
      </c>
      <c r="P134">
        <f>IF(N134=10,0,$O$188)*IF(Main!$Q$23,1,0)*IF($A134&lt;Main!$S$28,1,0)</f>
        <v>0</v>
      </c>
      <c r="R134">
        <f>IF($A134&gt;Main!Q$29,ABS(S134-$E134),10)</f>
        <v>0.72221212556560088</v>
      </c>
      <c r="S134">
        <f>1/SQRT((1-Calculation!$D$21/Calculation!$D$19*((1/'Frequency Data'!$A134)^2-1))^2+(Calculation!$D$3*'Frequency Data'!$A134*Calculation!$D$21/Calculation!$H$11*(1-(1/'Frequency Data'!$A134)^2))^2)*IF(Main!$Q$24,1,0)</f>
        <v>0.21848292840190001</v>
      </c>
      <c r="T134">
        <f>IF(R134=10,0,$O$188)*IF(Main!$Q$23,1,0)*IF($A134&lt;Main!$S$29,1,0)</f>
        <v>0</v>
      </c>
    </row>
    <row r="135" spans="1:20" x14ac:dyDescent="0.3">
      <c r="A135">
        <v>5.3</v>
      </c>
      <c r="B135" s="48">
        <f>Main!$B$18</f>
        <v>1.171664943123061</v>
      </c>
      <c r="C135">
        <f>1/SQRT((1-Calculation!$B$21/Calculation!$B$19*((1/'Frequency Data'!$A135)^2-1))^2+(Calculation!$B$3*'Frequency Data'!$A135*Calculation!$B$21/Calculation!$B$11*(1-(1/'Frequency Data'!$A135)^2))^2)</f>
        <v>0.5550368507053669</v>
      </c>
      <c r="D135">
        <f>1/SQRT((1-Calculation!$D$21/Calculation!$D$19*((1/'Frequency Data'!$A135)^2-1))^2+(Calculation!$D$3*'Frequency Data'!$A135*Calculation!$D$21/Calculation!$D$11*(1-(1/'Frequency Data'!$A135)^2))^2)</f>
        <v>0.36227796388545469</v>
      </c>
      <c r="E135" s="48">
        <f>Main!$B$19</f>
        <v>0.94069505396750086</v>
      </c>
      <c r="F135" s="48"/>
      <c r="G135" s="63">
        <f>IF(A135&lt;Main!$K$23,0,Main!$B$18)*IF(A135&lt;Main!$L$23,1,0)</f>
        <v>0</v>
      </c>
      <c r="H135" s="63">
        <f>IF(A135&lt;Main!$K$24,0,Main!$B$18)*IF(A135&lt;Main!$L$24,1,0)</f>
        <v>0</v>
      </c>
      <c r="J135">
        <f>IF(A135&gt;Main!$K$23,ABS(C135-$E135),10)</f>
        <v>0.38565820326213396</v>
      </c>
      <c r="L135">
        <f>IF(A135&gt;Main!$K$23,ABS(D135-E135),10)</f>
        <v>0.57841709008204623</v>
      </c>
      <c r="N135">
        <f>IF($A135&gt;Main!Q$28,ABS(O135-$E135),10)</f>
        <v>0.60595719630981904</v>
      </c>
      <c r="O135">
        <f>1/SQRT((1-Calculation!$D$21/Calculation!$D$19*((1/'Frequency Data'!$A135)^2-1))^2+(Calculation!$D$3*'Frequency Data'!$A135*Calculation!$D$21/Calculation!$G$11*(1-(1/'Frequency Data'!$A135)^2))^2)*IF(Main!$Q$23,1,0)</f>
        <v>0.33473785765768183</v>
      </c>
      <c r="P135">
        <f>IF(N135=10,0,$O$188)*IF(Main!$Q$23,1,0)*IF($A135&lt;Main!$S$28,1,0)</f>
        <v>0</v>
      </c>
      <c r="R135">
        <f>IF($A135&gt;Main!Q$29,ABS(S135-$E135),10)</f>
        <v>0.72635654144993123</v>
      </c>
      <c r="S135">
        <f>1/SQRT((1-Calculation!$D$21/Calculation!$D$19*((1/'Frequency Data'!$A135)^2-1))^2+(Calculation!$D$3*'Frequency Data'!$A135*Calculation!$D$21/Calculation!$H$11*(1-(1/'Frequency Data'!$A135)^2))^2)*IF(Main!$Q$24,1,0)</f>
        <v>0.21433851251756963</v>
      </c>
      <c r="T135">
        <f>IF(R135=10,0,$O$188)*IF(Main!$Q$23,1,0)*IF($A135&lt;Main!$S$29,1,0)</f>
        <v>0</v>
      </c>
    </row>
    <row r="136" spans="1:20" x14ac:dyDescent="0.3">
      <c r="A136">
        <v>5.4</v>
      </c>
      <c r="B136" s="48">
        <f>Main!$B$18</f>
        <v>1.171664943123061</v>
      </c>
      <c r="C136">
        <f>1/SQRT((1-Calculation!$B$21/Calculation!$B$19*((1/'Frequency Data'!$A136)^2-1))^2+(Calculation!$B$3*'Frequency Data'!$A136*Calculation!$B$21/Calculation!$B$11*(1-(1/'Frequency Data'!$A136)^2))^2)</f>
        <v>0.54788835571110106</v>
      </c>
      <c r="D136">
        <f>1/SQRT((1-Calculation!$D$21/Calculation!$D$19*((1/'Frequency Data'!$A136)^2-1))^2+(Calculation!$D$3*'Frequency Data'!$A136*Calculation!$D$21/Calculation!$D$11*(1-(1/'Frequency Data'!$A136)^2))^2)</f>
        <v>0.35636699953905743</v>
      </c>
      <c r="E136" s="48">
        <f>Main!$B$19</f>
        <v>0.94069505396750086</v>
      </c>
      <c r="F136" s="48"/>
      <c r="G136" s="63">
        <f>IF(A136&lt;Main!$K$23,0,Main!$B$18)*IF(A136&lt;Main!$L$23,1,0)</f>
        <v>0</v>
      </c>
      <c r="H136" s="63">
        <f>IF(A136&lt;Main!$K$24,0,Main!$B$18)*IF(A136&lt;Main!$L$24,1,0)</f>
        <v>0</v>
      </c>
      <c r="J136">
        <f>IF(A136&gt;Main!$K$23,ABS(C136-$E136),10)</f>
        <v>0.3928066982563998</v>
      </c>
      <c r="L136">
        <f>IF(A136&gt;Main!$K$23,ABS(D136-E136),10)</f>
        <v>0.58432805442844349</v>
      </c>
      <c r="N136">
        <f>IF($A136&gt;Main!Q$28,ABS(O136-$E136),10)</f>
        <v>0.61159243770809102</v>
      </c>
      <c r="O136">
        <f>1/SQRT((1-Calculation!$D$21/Calculation!$D$19*((1/'Frequency Data'!$A136)^2-1))^2+(Calculation!$D$3*'Frequency Data'!$A136*Calculation!$D$21/Calculation!$G$11*(1-(1/'Frequency Data'!$A136)^2))^2)*IF(Main!$Q$23,1,0)</f>
        <v>0.32910261625940979</v>
      </c>
      <c r="P136">
        <f>IF(N136=10,0,$O$188)*IF(Main!$Q$23,1,0)*IF($A136&lt;Main!$S$28,1,0)</f>
        <v>0</v>
      </c>
      <c r="R136">
        <f>IF($A136&gt;Main!Q$29,ABS(S136-$E136),10)</f>
        <v>0.73034641645255993</v>
      </c>
      <c r="S136">
        <f>1/SQRT((1-Calculation!$D$21/Calculation!$D$19*((1/'Frequency Data'!$A136)^2-1))^2+(Calculation!$D$3*'Frequency Data'!$A136*Calculation!$D$21/Calculation!$H$11*(1-(1/'Frequency Data'!$A136)^2))^2)*IF(Main!$Q$24,1,0)</f>
        <v>0.21034863751494093</v>
      </c>
      <c r="T136">
        <f>IF(R136=10,0,$O$188)*IF(Main!$Q$23,1,0)*IF($A136&lt;Main!$S$29,1,0)</f>
        <v>0</v>
      </c>
    </row>
    <row r="137" spans="1:20" x14ac:dyDescent="0.3">
      <c r="A137">
        <v>5.5</v>
      </c>
      <c r="B137" s="48">
        <f>Main!$B$18</f>
        <v>1.171664943123061</v>
      </c>
      <c r="C137">
        <f>1/SQRT((1-Calculation!$B$21/Calculation!$B$19*((1/'Frequency Data'!$A137)^2-1))^2+(Calculation!$B$3*'Frequency Data'!$A137*Calculation!$B$21/Calculation!$B$11*(1-(1/'Frequency Data'!$A137)^2))^2)</f>
        <v>0.54088376441919972</v>
      </c>
      <c r="D137">
        <f>1/SQRT((1-Calculation!$D$21/Calculation!$D$19*((1/'Frequency Data'!$A137)^2-1))^2+(Calculation!$D$3*'Frequency Data'!$A137*Calculation!$D$21/Calculation!$D$11*(1-(1/'Frequency Data'!$A137)^2))^2)</f>
        <v>0.35063395369257233</v>
      </c>
      <c r="E137" s="48">
        <f>Main!$B$19</f>
        <v>0.94069505396750086</v>
      </c>
      <c r="F137" s="48"/>
      <c r="G137" s="63">
        <f>IF(A137&lt;Main!$K$23,0,Main!$B$18)*IF(A137&lt;Main!$L$23,1,0)</f>
        <v>0</v>
      </c>
      <c r="H137" s="63">
        <f>IF(A137&lt;Main!$K$24,0,Main!$B$18)*IF(A137&lt;Main!$L$24,1,0)</f>
        <v>0</v>
      </c>
      <c r="J137">
        <f>IF(A137&gt;Main!$K$23,ABS(C137-$E137),10)</f>
        <v>0.39981128954830114</v>
      </c>
      <c r="L137">
        <f>IF(A137&gt;Main!$K$23,ABS(D137-E137),10)</f>
        <v>0.59006110027492853</v>
      </c>
      <c r="N137">
        <f>IF($A137&gt;Main!Q$28,ABS(O137-$E137),10)</f>
        <v>0.61704977414354922</v>
      </c>
      <c r="O137">
        <f>1/SQRT((1-Calculation!$D$21/Calculation!$D$19*((1/'Frequency Data'!$A137)^2-1))^2+(Calculation!$D$3*'Frequency Data'!$A137*Calculation!$D$21/Calculation!$G$11*(1-(1/'Frequency Data'!$A137)^2))^2)*IF(Main!$Q$23,1,0)</f>
        <v>0.32364527982395158</v>
      </c>
      <c r="P137">
        <f>IF(N137=10,0,$O$188)*IF(Main!$Q$23,1,0)*IF($A137&lt;Main!$S$28,1,0)</f>
        <v>0</v>
      </c>
      <c r="R137">
        <f>IF($A137&gt;Main!Q$29,ABS(S137-$E137),10)</f>
        <v>0.73419024088393625</v>
      </c>
      <c r="S137">
        <f>1/SQRT((1-Calculation!$D$21/Calculation!$D$19*((1/'Frequency Data'!$A137)^2-1))^2+(Calculation!$D$3*'Frequency Data'!$A137*Calculation!$D$21/Calculation!$H$11*(1-(1/'Frequency Data'!$A137)^2))^2)*IF(Main!$Q$24,1,0)</f>
        <v>0.20650481308356455</v>
      </c>
      <c r="T137">
        <f>IF(R137=10,0,$O$188)*IF(Main!$Q$23,1,0)*IF($A137&lt;Main!$S$29,1,0)</f>
        <v>0</v>
      </c>
    </row>
    <row r="138" spans="1:20" x14ac:dyDescent="0.3">
      <c r="A138">
        <v>5.6</v>
      </c>
      <c r="B138" s="48">
        <f>Main!$B$18</f>
        <v>1.171664943123061</v>
      </c>
      <c r="C138">
        <f>1/SQRT((1-Calculation!$B$21/Calculation!$B$19*((1/'Frequency Data'!$A138)^2-1))^2+(Calculation!$B$3*'Frequency Data'!$A138*Calculation!$B$21/Calculation!$B$11*(1-(1/'Frequency Data'!$A138)^2))^2)</f>
        <v>0.53402044123299253</v>
      </c>
      <c r="D138">
        <f>1/SQRT((1-Calculation!$D$21/Calculation!$D$19*((1/'Frequency Data'!$A138)^2-1))^2+(Calculation!$D$3*'Frequency Data'!$A138*Calculation!$D$21/Calculation!$D$11*(1-(1/'Frequency Data'!$A138)^2))^2)</f>
        <v>0.34507147325532689</v>
      </c>
      <c r="E138" s="48">
        <f>Main!$B$19</f>
        <v>0.94069505396750086</v>
      </c>
      <c r="F138" s="48"/>
      <c r="G138" s="63">
        <f>IF(A138&lt;Main!$K$23,0,Main!$B$18)*IF(A138&lt;Main!$L$23,1,0)</f>
        <v>0</v>
      </c>
      <c r="H138" s="63">
        <f>IF(A138&lt;Main!$K$24,0,Main!$B$18)*IF(A138&lt;Main!$L$24,1,0)</f>
        <v>0</v>
      </c>
      <c r="J138">
        <f>IF(A138&gt;Main!$K$23,ABS(C138-$E138),10)</f>
        <v>0.40667461273450833</v>
      </c>
      <c r="L138">
        <f>IF(A138&gt;Main!$K$23,ABS(D138-E138),10)</f>
        <v>0.59562358071217392</v>
      </c>
      <c r="N138">
        <f>IF($A138&gt;Main!Q$28,ABS(O138-$E138),10)</f>
        <v>0.62233708057890236</v>
      </c>
      <c r="O138">
        <f>1/SQRT((1-Calculation!$D$21/Calculation!$D$19*((1/'Frequency Data'!$A138)^2-1))^2+(Calculation!$D$3*'Frequency Data'!$A138*Calculation!$D$21/Calculation!$G$11*(1-(1/'Frequency Data'!$A138)^2))^2)*IF(Main!$Q$23,1,0)</f>
        <v>0.31835797338859856</v>
      </c>
      <c r="P138">
        <f>IF(N138=10,0,$O$188)*IF(Main!$Q$23,1,0)*IF($A138&lt;Main!$S$28,1,0)</f>
        <v>0</v>
      </c>
      <c r="R138">
        <f>IF($A138&gt;Main!Q$29,ABS(S138-$E138),10)</f>
        <v>0.7378958946649179</v>
      </c>
      <c r="S138">
        <f>1/SQRT((1-Calculation!$D$21/Calculation!$D$19*((1/'Frequency Data'!$A138)^2-1))^2+(Calculation!$D$3*'Frequency Data'!$A138*Calculation!$D$21/Calculation!$H$11*(1-(1/'Frequency Data'!$A138)^2))^2)*IF(Main!$Q$24,1,0)</f>
        <v>0.20279915930258299</v>
      </c>
      <c r="T138">
        <f>IF(R138=10,0,$O$188)*IF(Main!$Q$23,1,0)*IF($A138&lt;Main!$S$29,1,0)</f>
        <v>0</v>
      </c>
    </row>
    <row r="139" spans="1:20" x14ac:dyDescent="0.3">
      <c r="A139">
        <v>5.7</v>
      </c>
      <c r="B139" s="48">
        <f>Main!$B$18</f>
        <v>1.171664943123061</v>
      </c>
      <c r="C139">
        <f>1/SQRT((1-Calculation!$B$21/Calculation!$B$19*((1/'Frequency Data'!$A139)^2-1))^2+(Calculation!$B$3*'Frequency Data'!$A139*Calculation!$B$21/Calculation!$B$11*(1-(1/'Frequency Data'!$A139)^2))^2)</f>
        <v>0.52729570049942287</v>
      </c>
      <c r="D139">
        <f>1/SQRT((1-Calculation!$D$21/Calculation!$D$19*((1/'Frequency Data'!$A139)^2-1))^2+(Calculation!$D$3*'Frequency Data'!$A139*Calculation!$D$21/Calculation!$D$11*(1-(1/'Frequency Data'!$A139)^2))^2)</f>
        <v>0.33967256920972649</v>
      </c>
      <c r="E139" s="48">
        <f>Main!$B$19</f>
        <v>0.94069505396750086</v>
      </c>
      <c r="F139" s="48"/>
      <c r="G139" s="63">
        <f>IF(A139&lt;Main!$K$23,0,Main!$B$18)*IF(A139&lt;Main!$L$23,1,0)</f>
        <v>0</v>
      </c>
      <c r="H139" s="63">
        <f>IF(A139&lt;Main!$K$24,0,Main!$B$18)*IF(A139&lt;Main!$L$24,1,0)</f>
        <v>0</v>
      </c>
      <c r="J139">
        <f>IF(A139&gt;Main!$K$23,ABS(C139-$E139),10)</f>
        <v>0.41339935346807799</v>
      </c>
      <c r="L139">
        <f>IF(A139&gt;Main!$K$23,ABS(D139-E139),10)</f>
        <v>0.60102248475777431</v>
      </c>
      <c r="N139">
        <f>IF($A139&gt;Main!Q$28,ABS(O139-$E139),10)</f>
        <v>0.62746180090624604</v>
      </c>
      <c r="O139">
        <f>1/SQRT((1-Calculation!$D$21/Calculation!$D$19*((1/'Frequency Data'!$A139)^2-1))^2+(Calculation!$D$3*'Frequency Data'!$A139*Calculation!$D$21/Calculation!$G$11*(1-(1/'Frequency Data'!$A139)^2))^2)*IF(Main!$Q$23,1,0)</f>
        <v>0.31323325306125477</v>
      </c>
      <c r="P139">
        <f>IF(N139=10,0,$O$188)*IF(Main!$Q$23,1,0)*IF($A139&lt;Main!$S$28,1,0)</f>
        <v>0</v>
      </c>
      <c r="R139">
        <f>IF($A139&gt;Main!Q$29,ABS(S139-$E139),10)</f>
        <v>0.74147070111424673</v>
      </c>
      <c r="S139">
        <f>1/SQRT((1-Calculation!$D$21/Calculation!$D$19*((1/'Frequency Data'!$A139)^2-1))^2+(Calculation!$D$3*'Frequency Data'!$A139*Calculation!$D$21/Calculation!$H$11*(1-(1/'Frequency Data'!$A139)^2))^2)*IF(Main!$Q$24,1,0)</f>
        <v>0.19922435285325407</v>
      </c>
      <c r="T139">
        <f>IF(R139=10,0,$O$188)*IF(Main!$Q$23,1,0)*IF($A139&lt;Main!$S$29,1,0)</f>
        <v>0</v>
      </c>
    </row>
    <row r="140" spans="1:20" x14ac:dyDescent="0.3">
      <c r="A140">
        <v>5.8</v>
      </c>
      <c r="B140" s="48">
        <f>Main!$B$18</f>
        <v>1.171664943123061</v>
      </c>
      <c r="C140">
        <f>1/SQRT((1-Calculation!$B$21/Calculation!$B$19*((1/'Frequency Data'!$A140)^2-1))^2+(Calculation!$B$3*'Frequency Data'!$A140*Calculation!$B$21/Calculation!$B$11*(1-(1/'Frequency Data'!$A140)^2))^2)</f>
        <v>0.52070682055536166</v>
      </c>
      <c r="D140">
        <f>1/SQRT((1-Calculation!$D$21/Calculation!$D$19*((1/'Frequency Data'!$A140)^2-1))^2+(Calculation!$D$3*'Frequency Data'!$A140*Calculation!$D$21/Calculation!$D$11*(1-(1/'Frequency Data'!$A140)^2))^2)</f>
        <v>0.33443059722781104</v>
      </c>
      <c r="E140" s="48">
        <f>Main!$B$19</f>
        <v>0.94069505396750086</v>
      </c>
      <c r="F140" s="48"/>
      <c r="G140" s="63">
        <f>IF(A140&lt;Main!$K$23,0,Main!$B$18)*IF(A140&lt;Main!$L$23,1,0)</f>
        <v>0</v>
      </c>
      <c r="H140" s="63">
        <f>IF(A140&lt;Main!$K$24,0,Main!$B$18)*IF(A140&lt;Main!$L$24,1,0)</f>
        <v>0</v>
      </c>
      <c r="J140">
        <f>IF(A140&gt;Main!$K$23,ABS(C140-$E140),10)</f>
        <v>0.4199882334121392</v>
      </c>
      <c r="L140">
        <f>IF(A140&gt;Main!$K$23,ABS(D140-E140),10)</f>
        <v>0.60626445673968976</v>
      </c>
      <c r="N140">
        <f>IF($A140&gt;Main!Q$28,ABS(O140-$E140),10)</f>
        <v>0.63243097486496758</v>
      </c>
      <c r="O140">
        <f>1/SQRT((1-Calculation!$D$21/Calculation!$D$19*((1/'Frequency Data'!$A140)^2-1))^2+(Calculation!$D$3*'Frequency Data'!$A140*Calculation!$D$21/Calculation!$G$11*(1-(1/'Frequency Data'!$A140)^2))^2)*IF(Main!$Q$23,1,0)</f>
        <v>0.30826407910253328</v>
      </c>
      <c r="P140">
        <f>IF(N140=10,0,$O$188)*IF(Main!$Q$23,1,0)*IF($A140&lt;Main!$S$28,1,0)</f>
        <v>0</v>
      </c>
      <c r="R140">
        <f>IF($A140&gt;Main!Q$29,ABS(S140-$E140),10)</f>
        <v>0.74492147516424345</v>
      </c>
      <c r="S140">
        <f>1/SQRT((1-Calculation!$D$21/Calculation!$D$19*((1/'Frequency Data'!$A140)^2-1))^2+(Calculation!$D$3*'Frequency Data'!$A140*Calculation!$D$21/Calculation!$H$11*(1-(1/'Frequency Data'!$A140)^2))^2)*IF(Main!$Q$24,1,0)</f>
        <v>0.19577357880325738</v>
      </c>
      <c r="T140">
        <f>IF(R140=10,0,$O$188)*IF(Main!$Q$23,1,0)*IF($A140&lt;Main!$S$29,1,0)</f>
        <v>0</v>
      </c>
    </row>
    <row r="141" spans="1:20" x14ac:dyDescent="0.3">
      <c r="A141">
        <v>5.9</v>
      </c>
      <c r="B141" s="48">
        <f>Main!$B$18</f>
        <v>1.171664943123061</v>
      </c>
      <c r="C141">
        <f>1/SQRT((1-Calculation!$B$21/Calculation!$B$19*((1/'Frequency Data'!$A141)^2-1))^2+(Calculation!$B$3*'Frequency Data'!$A141*Calculation!$B$21/Calculation!$B$11*(1-(1/'Frequency Data'!$A141)^2))^2)</f>
        <v>0.51425105621195655</v>
      </c>
      <c r="D141">
        <f>1/SQRT((1-Calculation!$D$21/Calculation!$D$19*((1/'Frequency Data'!$A141)^2-1))^2+(Calculation!$D$3*'Frequency Data'!$A141*Calculation!$D$21/Calculation!$D$11*(1-(1/'Frequency Data'!$A141)^2))^2)</f>
        <v>0.32933923922444736</v>
      </c>
      <c r="E141" s="48">
        <f>Main!$B$19</f>
        <v>0.94069505396750086</v>
      </c>
      <c r="F141" s="48"/>
      <c r="G141" s="63">
        <f>IF(A141&lt;Main!$K$23,0,Main!$B$18)*IF(A141&lt;Main!$L$23,1,0)</f>
        <v>0</v>
      </c>
      <c r="H141" s="63">
        <f>IF(A141&lt;Main!$K$24,0,Main!$B$18)*IF(A141&lt;Main!$L$24,1,0)</f>
        <v>0</v>
      </c>
      <c r="J141">
        <f>IF(A141&gt;Main!$K$23,ABS(C141-$E141),10)</f>
        <v>0.42644399775554431</v>
      </c>
      <c r="L141">
        <f>IF(A141&gt;Main!$K$23,ABS(D141-E141),10)</f>
        <v>0.61135581474305356</v>
      </c>
      <c r="N141">
        <f>IF($A141&gt;Main!Q$28,ABS(O141-$E141),10)</f>
        <v>0.63725126318204406</v>
      </c>
      <c r="O141">
        <f>1/SQRT((1-Calculation!$D$21/Calculation!$D$19*((1/'Frequency Data'!$A141)^2-1))^2+(Calculation!$D$3*'Frequency Data'!$A141*Calculation!$D$21/Calculation!$G$11*(1-(1/'Frequency Data'!$A141)^2))^2)*IF(Main!$Q$23,1,0)</f>
        <v>0.3034437907854568</v>
      </c>
      <c r="P141">
        <f>IF(N141=10,0,$O$188)*IF(Main!$Q$23,1,0)*IF($A141&lt;Main!$S$28,1,0)</f>
        <v>0</v>
      </c>
      <c r="R141">
        <f>IF($A141&gt;Main!Q$29,ABS(S141-$E141),10)</f>
        <v>0.74825456666365209</v>
      </c>
      <c r="S141">
        <f>1/SQRT((1-Calculation!$D$21/Calculation!$D$19*((1/'Frequency Data'!$A141)^2-1))^2+(Calculation!$D$3*'Frequency Data'!$A141*Calculation!$D$21/Calculation!$H$11*(1-(1/'Frequency Data'!$A141)^2))^2)*IF(Main!$Q$24,1,0)</f>
        <v>0.19244048730384877</v>
      </c>
      <c r="T141">
        <f>IF(R141=10,0,$O$188)*IF(Main!$Q$23,1,0)*IF($A141&lt;Main!$S$29,1,0)</f>
        <v>0</v>
      </c>
    </row>
    <row r="142" spans="1:20" x14ac:dyDescent="0.3">
      <c r="A142">
        <v>6</v>
      </c>
      <c r="B142" s="48">
        <f>Main!$B$18</f>
        <v>1.171664943123061</v>
      </c>
      <c r="C142">
        <f>1/SQRT((1-Calculation!$B$21/Calculation!$B$19*((1/'Frequency Data'!$A142)^2-1))^2+(Calculation!$B$3*'Frequency Data'!$A142*Calculation!$B$21/Calculation!$B$11*(1-(1/'Frequency Data'!$A142)^2))^2)</f>
        <v>0.50792564981125476</v>
      </c>
      <c r="D142">
        <f>1/SQRT((1-Calculation!$D$21/Calculation!$D$19*((1/'Frequency Data'!$A142)^2-1))^2+(Calculation!$D$3*'Frequency Data'!$A142*Calculation!$D$21/Calculation!$D$11*(1-(1/'Frequency Data'!$A142)^2))^2)</f>
        <v>0.32439248583158475</v>
      </c>
      <c r="E142" s="48">
        <f>Main!$B$19</f>
        <v>0.94069505396750086</v>
      </c>
      <c r="F142" s="48"/>
      <c r="G142" s="63">
        <f>IF(A142&lt;Main!$K$23,0,Main!$B$18)*IF(A142&lt;Main!$L$23,1,0)</f>
        <v>0</v>
      </c>
      <c r="H142" s="63">
        <f>IF(A142&lt;Main!$K$24,0,Main!$B$18)*IF(A142&lt;Main!$L$24,1,0)</f>
        <v>0</v>
      </c>
      <c r="J142">
        <f>IF(A142&gt;Main!$K$23,ABS(C142-$E142),10)</f>
        <v>0.4327694041562461</v>
      </c>
      <c r="L142">
        <f>IF(A142&gt;Main!$K$23,ABS(D142-E142),10)</f>
        <v>0.61630256813591611</v>
      </c>
      <c r="N142">
        <f>IF($A142&gt;Main!Q$28,ABS(O142-$E142),10)</f>
        <v>0.64192897104475022</v>
      </c>
      <c r="O142">
        <f>1/SQRT((1-Calculation!$D$21/Calculation!$D$19*((1/'Frequency Data'!$A142)^2-1))^2+(Calculation!$D$3*'Frequency Data'!$A142*Calculation!$D$21/Calculation!$G$11*(1-(1/'Frequency Data'!$A142)^2))^2)*IF(Main!$Q$23,1,0)</f>
        <v>0.2987660829227507</v>
      </c>
      <c r="P142">
        <f>IF(N142=10,0,$O$188)*IF(Main!$Q$23,1,0)*IF($A142&lt;Main!$S$28,1,0)</f>
        <v>0</v>
      </c>
      <c r="R142">
        <f>IF($A142&gt;Main!Q$29,ABS(S142-$E142),10)</f>
        <v>0.75147589933952963</v>
      </c>
      <c r="S142">
        <f>1/SQRT((1-Calculation!$D$21/Calculation!$D$19*((1/'Frequency Data'!$A142)^2-1))^2+(Calculation!$D$3*'Frequency Data'!$A142*Calculation!$D$21/Calculation!$H$11*(1-(1/'Frequency Data'!$A142)^2))^2)*IF(Main!$Q$24,1,0)</f>
        <v>0.18921915462797129</v>
      </c>
      <c r="T142">
        <f>IF(R142=10,0,$O$188)*IF(Main!$Q$23,1,0)*IF($A142&lt;Main!$S$29,1,0)</f>
        <v>0</v>
      </c>
    </row>
    <row r="143" spans="1:20" x14ac:dyDescent="0.3">
      <c r="A143">
        <v>6.1</v>
      </c>
      <c r="B143" s="48">
        <f>Main!$B$18</f>
        <v>1.171664943123061</v>
      </c>
      <c r="C143">
        <f>1/SQRT((1-Calculation!$B$21/Calculation!$B$19*((1/'Frequency Data'!$A143)^2-1))^2+(Calculation!$B$3*'Frequency Data'!$A143*Calculation!$B$21/Calculation!$B$11*(1-(1/'Frequency Data'!$A143)^2))^2)</f>
        <v>0.50172784098166756</v>
      </c>
      <c r="D143">
        <f>1/SQRT((1-Calculation!$D$21/Calculation!$D$19*((1/'Frequency Data'!$A143)^2-1))^2+(Calculation!$D$3*'Frequency Data'!$A143*Calculation!$D$21/Calculation!$D$11*(1-(1/'Frequency Data'!$A143)^2))^2)</f>
        <v>0.31958461977157548</v>
      </c>
      <c r="E143" s="48">
        <f>Main!$B$19</f>
        <v>0.94069505396750086</v>
      </c>
      <c r="F143" s="48"/>
      <c r="G143" s="63">
        <f>IF(A143&lt;Main!$K$23,0,Main!$B$18)*IF(A143&lt;Main!$L$23,1,0)</f>
        <v>0</v>
      </c>
      <c r="H143" s="63">
        <f>IF(A143&lt;Main!$K$24,0,Main!$B$18)*IF(A143&lt;Main!$L$24,1,0)</f>
        <v>0</v>
      </c>
      <c r="J143">
        <f>IF(A143&gt;Main!$K$23,ABS(C143-$E143),10)</f>
        <v>0.4389672129858333</v>
      </c>
      <c r="L143">
        <f>IF(A143&gt;Main!$K$23,ABS(D143-E143),10)</f>
        <v>0.62111043419592538</v>
      </c>
      <c r="N143">
        <f>IF($A143&gt;Main!Q$28,ABS(O143-$E143),10)</f>
        <v>0.64647007001177959</v>
      </c>
      <c r="O143">
        <f>1/SQRT((1-Calculation!$D$21/Calculation!$D$19*((1/'Frequency Data'!$A143)^2-1))^2+(Calculation!$D$3*'Frequency Data'!$A143*Calculation!$D$21/Calculation!$G$11*(1-(1/'Frequency Data'!$A143)^2))^2)*IF(Main!$Q$23,1,0)</f>
        <v>0.29422498395572122</v>
      </c>
      <c r="P143">
        <f>IF(N143=10,0,$O$188)*IF(Main!$Q$23,1,0)*IF($A143&lt;Main!$S$28,1,0)</f>
        <v>0</v>
      </c>
      <c r="R143">
        <f>IF($A143&gt;Main!Q$29,ABS(S143-$E143),10)</f>
        <v>0.75459100591565154</v>
      </c>
      <c r="S143">
        <f>1/SQRT((1-Calculation!$D$21/Calculation!$D$19*((1/'Frequency Data'!$A143)^2-1))^2+(Calculation!$D$3*'Frequency Data'!$A143*Calculation!$D$21/Calculation!$H$11*(1-(1/'Frequency Data'!$A143)^2))^2)*IF(Main!$Q$24,1,0)</f>
        <v>0.18610404805184935</v>
      </c>
      <c r="T143">
        <f>IF(R143=10,0,$O$188)*IF(Main!$Q$23,1,0)*IF($A143&lt;Main!$S$29,1,0)</f>
        <v>0</v>
      </c>
    </row>
    <row r="144" spans="1:20" x14ac:dyDescent="0.3">
      <c r="A144">
        <v>6.2</v>
      </c>
      <c r="B144" s="48">
        <f>Main!$B$18</f>
        <v>1.171664943123061</v>
      </c>
      <c r="C144">
        <f>1/SQRT((1-Calculation!$B$21/Calculation!$B$19*((1/'Frequency Data'!$A144)^2-1))^2+(Calculation!$B$3*'Frequency Data'!$A144*Calculation!$B$21/Calculation!$B$11*(1-(1/'Frequency Data'!$A144)^2))^2)</f>
        <v>0.49565487521085716</v>
      </c>
      <c r="D144">
        <f>1/SQRT((1-Calculation!$D$21/Calculation!$D$19*((1/'Frequency Data'!$A144)^2-1))^2+(Calculation!$D$3*'Frequency Data'!$A144*Calculation!$D$21/Calculation!$D$11*(1-(1/'Frequency Data'!$A144)^2))^2)</f>
        <v>0.31491020010275789</v>
      </c>
      <c r="E144" s="48">
        <f>Main!$B$19</f>
        <v>0.94069505396750086</v>
      </c>
      <c r="F144" s="48"/>
      <c r="G144" s="63">
        <f>IF(A144&lt;Main!$K$23,0,Main!$B$18)*IF(A144&lt;Main!$L$23,1,0)</f>
        <v>0</v>
      </c>
      <c r="H144" s="63">
        <f>IF(A144&lt;Main!$K$24,0,Main!$B$18)*IF(A144&lt;Main!$L$24,1,0)</f>
        <v>0</v>
      </c>
      <c r="J144">
        <f>IF(A144&gt;Main!$K$23,ABS(C144-$E144),10)</f>
        <v>0.4450401787566437</v>
      </c>
      <c r="L144">
        <f>IF(A144&gt;Main!$K$23,ABS(D144-E144),10)</f>
        <v>0.62578485386474303</v>
      </c>
      <c r="N144">
        <f>IF($A144&gt;Main!Q$28,ABS(O144-$E144),10)</f>
        <v>0.65088021846421551</v>
      </c>
      <c r="O144">
        <f>1/SQRT((1-Calculation!$D$21/Calculation!$D$19*((1/'Frequency Data'!$A144)^2-1))^2+(Calculation!$D$3*'Frequency Data'!$A144*Calculation!$D$21/Calculation!$G$11*(1-(1/'Frequency Data'!$A144)^2))^2)*IF(Main!$Q$23,1,0)</f>
        <v>0.28981483550328541</v>
      </c>
      <c r="P144">
        <f>IF(N144=10,0,$O$188)*IF(Main!$Q$23,1,0)*IF($A144&lt;Main!$S$28,1,0)</f>
        <v>0</v>
      </c>
      <c r="R144">
        <f>IF($A144&gt;Main!Q$29,ABS(S144-$E144),10)</f>
        <v>0.75760505982112691</v>
      </c>
      <c r="S144">
        <f>1/SQRT((1-Calculation!$D$21/Calculation!$D$19*((1/'Frequency Data'!$A144)^2-1))^2+(Calculation!$D$3*'Frequency Data'!$A144*Calculation!$D$21/Calculation!$H$11*(1-(1/'Frequency Data'!$A144)^2))^2)*IF(Main!$Q$24,1,0)</f>
        <v>0.18308999414637395</v>
      </c>
      <c r="T144">
        <f>IF(R144=10,0,$O$188)*IF(Main!$Q$23,1,0)*IF($A144&lt;Main!$S$29,1,0)</f>
        <v>0</v>
      </c>
    </row>
    <row r="145" spans="1:20" x14ac:dyDescent="0.3">
      <c r="A145">
        <v>6.3</v>
      </c>
      <c r="B145" s="48">
        <f>Main!$B$18</f>
        <v>1.171664943123061</v>
      </c>
      <c r="C145">
        <f>1/SQRT((1-Calculation!$B$21/Calculation!$B$19*((1/'Frequency Data'!$A145)^2-1))^2+(Calculation!$B$3*'Frequency Data'!$A145*Calculation!$B$21/Calculation!$B$11*(1-(1/'Frequency Data'!$A145)^2))^2)</f>
        <v>0.48970401134653185</v>
      </c>
      <c r="D145">
        <f>1/SQRT((1-Calculation!$D$21/Calculation!$D$19*((1/'Frequency Data'!$A145)^2-1))^2+(Calculation!$D$3*'Frequency Data'!$A145*Calculation!$D$21/Calculation!$D$11*(1-(1/'Frequency Data'!$A145)^2))^2)</f>
        <v>0.31036404730702183</v>
      </c>
      <c r="E145" s="48">
        <f>Main!$B$19</f>
        <v>0.94069505396750086</v>
      </c>
      <c r="F145" s="48"/>
      <c r="G145" s="63">
        <f>IF(A145&lt;Main!$K$23,0,Main!$B$18)*IF(A145&lt;Main!$L$23,1,0)</f>
        <v>0</v>
      </c>
      <c r="H145" s="63">
        <f>IF(A145&lt;Main!$K$24,0,Main!$B$18)*IF(A145&lt;Main!$L$24,1,0)</f>
        <v>0</v>
      </c>
      <c r="J145">
        <f>IF(A145&gt;Main!$K$23,ABS(C145-$E145),10)</f>
        <v>0.45099104262096901</v>
      </c>
      <c r="L145">
        <f>IF(A145&gt;Main!$K$23,ABS(D145-E145),10)</f>
        <v>0.63033100666047903</v>
      </c>
      <c r="N145">
        <f>IF($A145&gt;Main!Q$28,ABS(O145-$E145),10)</f>
        <v>0.65516478069287631</v>
      </c>
      <c r="O145">
        <f>1/SQRT((1-Calculation!$D$21/Calculation!$D$19*((1/'Frequency Data'!$A145)^2-1))^2+(Calculation!$D$3*'Frequency Data'!$A145*Calculation!$D$21/Calculation!$G$11*(1-(1/'Frequency Data'!$A145)^2))^2)*IF(Main!$Q$23,1,0)</f>
        <v>0.28553027327462455</v>
      </c>
      <c r="P145">
        <f>IF(N145=10,0,$O$188)*IF(Main!$Q$23,1,0)*IF($A145&lt;Main!$S$28,1,0)</f>
        <v>0</v>
      </c>
      <c r="R145">
        <f>IF($A145&gt;Main!Q$29,ABS(S145-$E145),10)</f>
        <v>0.76052290386813526</v>
      </c>
      <c r="S145">
        <f>1/SQRT((1-Calculation!$D$21/Calculation!$D$19*((1/'Frequency Data'!$A145)^2-1))^2+(Calculation!$D$3*'Frequency Data'!$A145*Calculation!$D$21/Calculation!$H$11*(1-(1/'Frequency Data'!$A145)^2))^2)*IF(Main!$Q$24,1,0)</f>
        <v>0.18017215009936563</v>
      </c>
      <c r="T145">
        <f>IF(R145=10,0,$O$188)*IF(Main!$Q$23,1,0)*IF($A145&lt;Main!$S$29,1,0)</f>
        <v>0</v>
      </c>
    </row>
    <row r="146" spans="1:20" x14ac:dyDescent="0.3">
      <c r="A146">
        <v>6.4</v>
      </c>
      <c r="B146" s="48">
        <f>Main!$B$18</f>
        <v>1.171664943123061</v>
      </c>
      <c r="C146">
        <f>1/SQRT((1-Calculation!$B$21/Calculation!$B$19*((1/'Frequency Data'!$A146)^2-1))^2+(Calculation!$B$3*'Frequency Data'!$A146*Calculation!$B$21/Calculation!$B$11*(1-(1/'Frequency Data'!$A146)^2))^2)</f>
        <v>0.48387252812761816</v>
      </c>
      <c r="D146">
        <f>1/SQRT((1-Calculation!$D$21/Calculation!$D$19*((1/'Frequency Data'!$A146)^2-1))^2+(Calculation!$D$3*'Frequency Data'!$A146*Calculation!$D$21/Calculation!$D$11*(1-(1/'Frequency Data'!$A146)^2))^2)</f>
        <v>0.30594122918668432</v>
      </c>
      <c r="E146" s="48">
        <f>Main!$B$19</f>
        <v>0.94069505396750086</v>
      </c>
      <c r="F146" s="48"/>
      <c r="G146" s="63">
        <f>IF(A146&lt;Main!$K$23,0,Main!$B$18)*IF(A146&lt;Main!$L$23,1,0)</f>
        <v>0</v>
      </c>
      <c r="H146" s="63">
        <f>IF(A146&lt;Main!$K$24,0,Main!$B$18)*IF(A146&lt;Main!$L$24,1,0)</f>
        <v>0</v>
      </c>
      <c r="J146">
        <f>IF(A146&gt;Main!$K$23,ABS(C146-$E146),10)</f>
        <v>0.4568225258398827</v>
      </c>
      <c r="L146">
        <f>IF(A146&gt;Main!$K$23,ABS(D146-E146),10)</f>
        <v>0.63475382478081654</v>
      </c>
      <c r="N146">
        <f>IF($A146&gt;Main!Q$28,ABS(O146-$E146),10)</f>
        <v>0.65932884471346365</v>
      </c>
      <c r="O146">
        <f>1/SQRT((1-Calculation!$D$21/Calculation!$D$19*((1/'Frequency Data'!$A146)^2-1))^2+(Calculation!$D$3*'Frequency Data'!$A146*Calculation!$D$21/Calculation!$G$11*(1-(1/'Frequency Data'!$A146)^2))^2)*IF(Main!$Q$23,1,0)</f>
        <v>0.28136620925403721</v>
      </c>
      <c r="P146">
        <f>IF(N146=10,0,$O$188)*IF(Main!$Q$23,1,0)*IF($A146&lt;Main!$S$28,1,0)</f>
        <v>0</v>
      </c>
      <c r="R146">
        <f>IF($A146&gt;Main!Q$29,ABS(S146-$E146),10)</f>
        <v>0.76334907623052939</v>
      </c>
      <c r="S146">
        <f>1/SQRT((1-Calculation!$D$21/Calculation!$D$19*((1/'Frequency Data'!$A146)^2-1))^2+(Calculation!$D$3*'Frequency Data'!$A146*Calculation!$D$21/Calculation!$H$11*(1-(1/'Frequency Data'!$A146)^2))^2)*IF(Main!$Q$24,1,0)</f>
        <v>0.17734597773697147</v>
      </c>
      <c r="T146">
        <f>IF(R146=10,0,$O$188)*IF(Main!$Q$23,1,0)*IF($A146&lt;Main!$S$29,1,0)</f>
        <v>0</v>
      </c>
    </row>
    <row r="147" spans="1:20" x14ac:dyDescent="0.3">
      <c r="A147">
        <v>6.5000000000000098</v>
      </c>
      <c r="B147" s="48">
        <f>Main!$B$18</f>
        <v>1.171664943123061</v>
      </c>
      <c r="C147">
        <f>1/SQRT((1-Calculation!$B$21/Calculation!$B$19*((1/'Frequency Data'!$A147)^2-1))^2+(Calculation!$B$3*'Frequency Data'!$A147*Calculation!$B$21/Calculation!$B$11*(1-(1/'Frequency Data'!$A147)^2))^2)</f>
        <v>0.47815772984045868</v>
      </c>
      <c r="D147">
        <f>1/SQRT((1-Calculation!$D$21/Calculation!$D$19*((1/'Frequency Data'!$A147)^2-1))^2+(Calculation!$D$3*'Frequency Data'!$A147*Calculation!$D$21/Calculation!$D$11*(1-(1/'Frequency Data'!$A147)^2))^2)</f>
        <v>0.30163704753649534</v>
      </c>
      <c r="E147" s="48">
        <f>Main!$B$19</f>
        <v>0.94069505396750086</v>
      </c>
      <c r="F147" s="48"/>
      <c r="G147" s="63">
        <f>IF(A147&lt;Main!$K$23,0,Main!$B$18)*IF(A147&lt;Main!$L$23,1,0)</f>
        <v>0</v>
      </c>
      <c r="H147" s="63">
        <f>IF(A147&lt;Main!$K$24,0,Main!$B$18)*IF(A147&lt;Main!$L$24,1,0)</f>
        <v>0</v>
      </c>
      <c r="J147">
        <f>IF(A147&gt;Main!$K$23,ABS(C147-$E147),10)</f>
        <v>0.46253732412704218</v>
      </c>
      <c r="L147">
        <f>IF(A147&gt;Main!$K$23,ABS(D147-E147),10)</f>
        <v>0.63905800643100552</v>
      </c>
      <c r="N147">
        <f>IF($A147&gt;Main!Q$28,ABS(O147-$E147),10)</f>
        <v>0.6633772388957756</v>
      </c>
      <c r="O147">
        <f>1/SQRT((1-Calculation!$D$21/Calculation!$D$19*((1/'Frequency Data'!$A147)^2-1))^2+(Calculation!$D$3*'Frequency Data'!$A147*Calculation!$D$21/Calculation!$G$11*(1-(1/'Frequency Data'!$A147)^2))^2)*IF(Main!$Q$23,1,0)</f>
        <v>0.27731781507172526</v>
      </c>
      <c r="P147">
        <f>IF(N147=10,0,$O$188)*IF(Main!$Q$23,1,0)*IF($A147&lt;Main!$S$28,1,0)</f>
        <v>0</v>
      </c>
      <c r="R147">
        <f>IF($A147&gt;Main!Q$29,ABS(S147-$E147),10)</f>
        <v>0.76608783401435132</v>
      </c>
      <c r="S147">
        <f>1/SQRT((1-Calculation!$D$21/Calculation!$D$19*((1/'Frequency Data'!$A147)^2-1))^2+(Calculation!$D$3*'Frequency Data'!$A147*Calculation!$D$21/Calculation!$H$11*(1-(1/'Frequency Data'!$A147)^2))^2)*IF(Main!$Q$24,1,0)</f>
        <v>0.17460721995314951</v>
      </c>
      <c r="T147">
        <f>IF(R147=10,0,$O$188)*IF(Main!$Q$23,1,0)*IF($A147&lt;Main!$S$29,1,0)</f>
        <v>0</v>
      </c>
    </row>
    <row r="148" spans="1:20" x14ac:dyDescent="0.3">
      <c r="A148">
        <v>6.6</v>
      </c>
      <c r="B148" s="48">
        <f>Main!$B$18</f>
        <v>1.171664943123061</v>
      </c>
      <c r="C148">
        <f>1/SQRT((1-Calculation!$B$21/Calculation!$B$19*((1/'Frequency Data'!$A148)^2-1))^2+(Calculation!$B$3*'Frequency Data'!$A148*Calculation!$B$21/Calculation!$B$11*(1-(1/'Frequency Data'!$A148)^2))^2)</f>
        <v>0.47255695118714836</v>
      </c>
      <c r="D148">
        <f>1/SQRT((1-Calculation!$D$21/Calculation!$D$19*((1/'Frequency Data'!$A148)^2-1))^2+(Calculation!$D$3*'Frequency Data'!$A148*Calculation!$D$21/Calculation!$D$11*(1-(1/'Frequency Data'!$A148)^2))^2)</f>
        <v>0.29744702555579161</v>
      </c>
      <c r="E148" s="48">
        <f>Main!$B$19</f>
        <v>0.94069505396750086</v>
      </c>
      <c r="F148" s="48"/>
      <c r="G148" s="63">
        <f>IF(A148&lt;Main!$K$23,0,Main!$B$18)*IF(A148&lt;Main!$L$23,1,0)</f>
        <v>0</v>
      </c>
      <c r="H148" s="63">
        <f>IF(A148&lt;Main!$K$24,0,Main!$B$18)*IF(A148&lt;Main!$L$24,1,0)</f>
        <v>0</v>
      </c>
      <c r="J148">
        <f>IF(A148&gt;Main!$K$23,ABS(C148-$E148),10)</f>
        <v>0.46813810278035251</v>
      </c>
      <c r="L148">
        <f>IF(A148&gt;Main!$K$23,ABS(D148-E148),10)</f>
        <v>0.64324802841170925</v>
      </c>
      <c r="N148">
        <f>IF($A148&gt;Main!Q$28,ABS(O148-$E148),10)</f>
        <v>0.66731454748812336</v>
      </c>
      <c r="O148">
        <f>1/SQRT((1-Calculation!$D$21/Calculation!$D$19*((1/'Frequency Data'!$A148)^2-1))^2+(Calculation!$D$3*'Frequency Data'!$A148*Calculation!$D$21/Calculation!$G$11*(1-(1/'Frequency Data'!$A148)^2))^2)*IF(Main!$Q$23,1,0)</f>
        <v>0.27338050647937751</v>
      </c>
      <c r="P148">
        <f>IF(N148=10,0,$O$188)*IF(Main!$Q$23,1,0)*IF($A148&lt;Main!$S$28,1,0)</f>
        <v>0</v>
      </c>
      <c r="R148">
        <f>IF($A148&gt;Main!Q$29,ABS(S148-$E148),10)</f>
        <v>0.76874317467610942</v>
      </c>
      <c r="S148">
        <f>1/SQRT((1-Calculation!$D$21/Calculation!$D$19*((1/'Frequency Data'!$A148)^2-1))^2+(Calculation!$D$3*'Frequency Data'!$A148*Calculation!$D$21/Calculation!$H$11*(1-(1/'Frequency Data'!$A148)^2))^2)*IF(Main!$Q$24,1,0)</f>
        <v>0.17195187929139147</v>
      </c>
      <c r="T148">
        <f>IF(R148=10,0,$O$188)*IF(Main!$Q$23,1,0)*IF($A148&lt;Main!$S$29,1,0)</f>
        <v>0</v>
      </c>
    </row>
    <row r="149" spans="1:20" x14ac:dyDescent="0.3">
      <c r="A149">
        <v>6.7</v>
      </c>
      <c r="B149" s="48">
        <f>Main!$B$18</f>
        <v>1.171664943123061</v>
      </c>
      <c r="C149">
        <f>1/SQRT((1-Calculation!$B$21/Calculation!$B$19*((1/'Frequency Data'!$A149)^2-1))^2+(Calculation!$B$3*'Frequency Data'!$A149*Calculation!$B$21/Calculation!$B$11*(1-(1/'Frequency Data'!$A149)^2))^2)</f>
        <v>0.46706756144592876</v>
      </c>
      <c r="D149">
        <f>1/SQRT((1-Calculation!$D$21/Calculation!$D$19*((1/'Frequency Data'!$A149)^2-1))^2+(Calculation!$D$3*'Frequency Data'!$A149*Calculation!$D$21/Calculation!$D$11*(1-(1/'Frequency Data'!$A149)^2))^2)</f>
        <v>0.29336689596556731</v>
      </c>
      <c r="E149" s="48">
        <f>Main!$B$19</f>
        <v>0.94069505396750086</v>
      </c>
      <c r="F149" s="48"/>
      <c r="G149" s="63">
        <f>IF(A149&lt;Main!$K$23,0,Main!$B$18)*IF(A149&lt;Main!$L$23,1,0)</f>
        <v>0</v>
      </c>
      <c r="H149" s="63">
        <f>IF(A149&lt;Main!$K$24,0,Main!$B$18)*IF(A149&lt;Main!$L$24,1,0)</f>
        <v>0</v>
      </c>
      <c r="J149">
        <f>IF(A149&gt;Main!$K$23,ABS(C149-$E149),10)</f>
        <v>0.4736274925215721</v>
      </c>
      <c r="L149">
        <f>IF(A149&gt;Main!$K$23,ABS(D149-E149),10)</f>
        <v>0.64732815800193355</v>
      </c>
      <c r="N149">
        <f>IF($A149&gt;Main!Q$28,ABS(O149-$E149),10)</f>
        <v>0.67114512511307178</v>
      </c>
      <c r="O149">
        <f>1/SQRT((1-Calculation!$D$21/Calculation!$D$19*((1/'Frequency Data'!$A149)^2-1))^2+(Calculation!$D$3*'Frequency Data'!$A149*Calculation!$D$21/Calculation!$G$11*(1-(1/'Frequency Data'!$A149)^2))^2)*IF(Main!$Q$23,1,0)</f>
        <v>0.26954992885442908</v>
      </c>
      <c r="P149">
        <f>IF(N149=10,0,$O$188)*IF(Main!$Q$23,1,0)*IF($A149&lt;Main!$S$28,1,0)</f>
        <v>0</v>
      </c>
      <c r="R149">
        <f>IF($A149&gt;Main!Q$29,ABS(S149-$E149),10)</f>
        <v>0.77131885551417412</v>
      </c>
      <c r="S149">
        <f>1/SQRT((1-Calculation!$D$21/Calculation!$D$19*((1/'Frequency Data'!$A149)^2-1))^2+(Calculation!$D$3*'Frequency Data'!$A149*Calculation!$D$21/Calculation!$H$11*(1-(1/'Frequency Data'!$A149)^2))^2)*IF(Main!$Q$24,1,0)</f>
        <v>0.16937619845332672</v>
      </c>
      <c r="T149">
        <f>IF(R149=10,0,$O$188)*IF(Main!$Q$23,1,0)*IF($A149&lt;Main!$S$29,1,0)</f>
        <v>0</v>
      </c>
    </row>
    <row r="150" spans="1:20" x14ac:dyDescent="0.3">
      <c r="A150">
        <v>6.8000000000000096</v>
      </c>
      <c r="B150" s="48">
        <f>Main!$B$18</f>
        <v>1.171664943123061</v>
      </c>
      <c r="C150">
        <f>1/SQRT((1-Calculation!$B$21/Calculation!$B$19*((1/'Frequency Data'!$A150)^2-1))^2+(Calculation!$B$3*'Frequency Data'!$A150*Calculation!$B$21/Calculation!$B$11*(1-(1/'Frequency Data'!$A150)^2))^2)</f>
        <v>0.4616869679967886</v>
      </c>
      <c r="D150">
        <f>1/SQRT((1-Calculation!$D$21/Calculation!$D$19*((1/'Frequency Data'!$A150)^2-1))^2+(Calculation!$D$3*'Frequency Data'!$A150*Calculation!$D$21/Calculation!$D$11*(1-(1/'Frequency Data'!$A150)^2))^2)</f>
        <v>0.28939258979545912</v>
      </c>
      <c r="E150" s="48">
        <f>Main!$B$19</f>
        <v>0.94069505396750086</v>
      </c>
      <c r="F150" s="48"/>
      <c r="G150" s="63">
        <f>IF(A150&lt;Main!$K$23,0,Main!$B$18)*IF(A150&lt;Main!$L$23,1,0)</f>
        <v>0</v>
      </c>
      <c r="H150" s="63">
        <f>IF(A150&lt;Main!$K$24,0,Main!$B$18)*IF(A150&lt;Main!$L$24,1,0)</f>
        <v>0</v>
      </c>
      <c r="J150">
        <f>IF(A150&gt;Main!$K$23,ABS(C150-$E150),10)</f>
        <v>0.47900808597071226</v>
      </c>
      <c r="L150">
        <f>IF(A150&gt;Main!$K$23,ABS(D150-E150),10)</f>
        <v>0.65130246417204174</v>
      </c>
      <c r="N150">
        <f>IF($A150&gt;Main!Q$28,ABS(O150-$E150),10)</f>
        <v>0.67487311030573394</v>
      </c>
      <c r="O150">
        <f>1/SQRT((1-Calculation!$D$21/Calculation!$D$19*((1/'Frequency Data'!$A150)^2-1))^2+(Calculation!$D$3*'Frequency Data'!$A150*Calculation!$D$21/Calculation!$G$11*(1-(1/'Frequency Data'!$A150)^2))^2)*IF(Main!$Q$23,1,0)</f>
        <v>0.26582194366176698</v>
      </c>
      <c r="P150">
        <f>IF(N150=10,0,$O$188)*IF(Main!$Q$23,1,0)*IF($A150&lt;Main!$S$28,1,0)</f>
        <v>0</v>
      </c>
      <c r="R150">
        <f>IF($A150&gt;Main!Q$29,ABS(S150-$E150),10)</f>
        <v>0.77381841143214614</v>
      </c>
      <c r="S150">
        <f>1/SQRT((1-Calculation!$D$21/Calculation!$D$19*((1/'Frequency Data'!$A150)^2-1))^2+(Calculation!$D$3*'Frequency Data'!$A150*Calculation!$D$21/Calculation!$H$11*(1-(1/'Frequency Data'!$A150)^2))^2)*IF(Main!$Q$24,1,0)</f>
        <v>0.1668766425353547</v>
      </c>
      <c r="T150">
        <f>IF(R150=10,0,$O$188)*IF(Main!$Q$23,1,0)*IF($A150&lt;Main!$S$29,1,0)</f>
        <v>0</v>
      </c>
    </row>
    <row r="151" spans="1:20" x14ac:dyDescent="0.3">
      <c r="A151">
        <v>6.9000000000000101</v>
      </c>
      <c r="B151" s="48">
        <f>Main!$B$18</f>
        <v>1.171664943123061</v>
      </c>
      <c r="C151">
        <f>1/SQRT((1-Calculation!$B$21/Calculation!$B$19*((1/'Frequency Data'!$A151)^2-1))^2+(Calculation!$B$3*'Frequency Data'!$A151*Calculation!$B$21/Calculation!$B$11*(1-(1/'Frequency Data'!$A151)^2))^2)</f>
        <v>0.45641261927900129</v>
      </c>
      <c r="D151">
        <f>1/SQRT((1-Calculation!$D$21/Calculation!$D$19*((1/'Frequency Data'!$A151)^2-1))^2+(Calculation!$D$3*'Frequency Data'!$A151*Calculation!$D$21/Calculation!$D$11*(1-(1/'Frequency Data'!$A151)^2))^2)</f>
        <v>0.28552022580616232</v>
      </c>
      <c r="E151" s="48">
        <f>Main!$B$19</f>
        <v>0.94069505396750086</v>
      </c>
      <c r="F151" s="48"/>
      <c r="G151" s="63">
        <f>IF(A151&lt;Main!$K$23,0,Main!$B$18)*IF(A151&lt;Main!$L$23,1,0)</f>
        <v>0</v>
      </c>
      <c r="H151" s="63">
        <f>IF(A151&lt;Main!$K$24,0,Main!$B$18)*IF(A151&lt;Main!$L$24,1,0)</f>
        <v>0</v>
      </c>
      <c r="J151">
        <f>IF(A151&gt;Main!$K$23,ABS(C151-$E151),10)</f>
        <v>0.48428243468849957</v>
      </c>
      <c r="L151">
        <f>IF(A151&gt;Main!$K$23,ABS(D151-E151),10)</f>
        <v>0.65517482816133854</v>
      </c>
      <c r="N151">
        <f>IF($A151&gt;Main!Q$28,ABS(O151-$E151),10)</f>
        <v>0.67850243816118982</v>
      </c>
      <c r="O151">
        <f>1/SQRT((1-Calculation!$D$21/Calculation!$D$19*((1/'Frequency Data'!$A151)^2-1))^2+(Calculation!$D$3*'Frequency Data'!$A151*Calculation!$D$21/Calculation!$G$11*(1-(1/'Frequency Data'!$A151)^2))^2)*IF(Main!$Q$23,1,0)</f>
        <v>0.26219261580631104</v>
      </c>
      <c r="P151">
        <f>IF(N151=10,0,$O$188)*IF(Main!$Q$23,1,0)*IF($A151&lt;Main!$S$28,1,0)</f>
        <v>0</v>
      </c>
      <c r="R151">
        <f>IF($A151&gt;Main!Q$29,ABS(S151-$E151),10)</f>
        <v>0.77624517115001845</v>
      </c>
      <c r="S151">
        <f>1/SQRT((1-Calculation!$D$21/Calculation!$D$19*((1/'Frequency Data'!$A151)^2-1))^2+(Calculation!$D$3*'Frequency Data'!$A151*Calculation!$D$21/Calculation!$H$11*(1-(1/'Frequency Data'!$A151)^2))^2)*IF(Main!$Q$24,1,0)</f>
        <v>0.16444988281748243</v>
      </c>
      <c r="T151">
        <f>IF(R151=10,0,$O$188)*IF(Main!$Q$23,1,0)*IF($A151&lt;Main!$S$29,1,0)</f>
        <v>0</v>
      </c>
    </row>
    <row r="152" spans="1:20" x14ac:dyDescent="0.3">
      <c r="A152">
        <v>7.0000000000000098</v>
      </c>
      <c r="B152" s="48">
        <f>Main!$B$18</f>
        <v>1.171664943123061</v>
      </c>
      <c r="C152">
        <f>1/SQRT((1-Calculation!$B$21/Calculation!$B$19*((1/'Frequency Data'!$A152)^2-1))^2+(Calculation!$B$3*'Frequency Data'!$A152*Calculation!$B$21/Calculation!$B$11*(1-(1/'Frequency Data'!$A152)^2))^2)</f>
        <v>0.45124200724138341</v>
      </c>
      <c r="D152">
        <f>1/SQRT((1-Calculation!$D$21/Calculation!$D$19*((1/'Frequency Data'!$A152)^2-1))^2+(Calculation!$D$3*'Frequency Data'!$A152*Calculation!$D$21/Calculation!$D$11*(1-(1/'Frequency Data'!$A152)^2))^2)</f>
        <v>0.28174610051362547</v>
      </c>
      <c r="E152" s="48">
        <f>Main!$B$19</f>
        <v>0.94069505396750086</v>
      </c>
      <c r="F152" s="48"/>
      <c r="G152" s="63">
        <f>IF(A152&lt;Main!$K$23,0,Main!$B$18)*IF(A152&lt;Main!$L$23,1,0)</f>
        <v>0</v>
      </c>
      <c r="H152" s="63">
        <f>IF(A152&lt;Main!$K$24,0,Main!$B$18)*IF(A152&lt;Main!$L$24,1,0)</f>
        <v>0</v>
      </c>
      <c r="J152">
        <f>IF(A152&gt;Main!$K$23,ABS(C152-$E152),10)</f>
        <v>0.48945304672611745</v>
      </c>
      <c r="L152">
        <f>IF(A152&gt;Main!$K$23,ABS(D152-E152),10)</f>
        <v>0.65894895345387539</v>
      </c>
      <c r="N152">
        <f>IF($A152&gt;Main!Q$28,ABS(O152-$E152),10)</f>
        <v>0.6820368521531166</v>
      </c>
      <c r="O152">
        <f>1/SQRT((1-Calculation!$D$21/Calculation!$D$19*((1/'Frequency Data'!$A152)^2-1))^2+(Calculation!$D$3*'Frequency Data'!$A152*Calculation!$D$21/Calculation!$G$11*(1-(1/'Frequency Data'!$A152)^2))^2)*IF(Main!$Q$23,1,0)</f>
        <v>0.2586582018143842</v>
      </c>
      <c r="P152">
        <f>IF(N152=10,0,$O$188)*IF(Main!$Q$23,1,0)*IF($A152&lt;Main!$S$28,1,0)</f>
        <v>0</v>
      </c>
      <c r="R152">
        <f>IF($A152&gt;Main!Q$29,ABS(S152-$E152),10)</f>
        <v>0.77860227201884447</v>
      </c>
      <c r="S152">
        <f>1/SQRT((1-Calculation!$D$21/Calculation!$D$19*((1/'Frequency Data'!$A152)^2-1))^2+(Calculation!$D$3*'Frequency Data'!$A152*Calculation!$D$21/Calculation!$H$11*(1-(1/'Frequency Data'!$A152)^2))^2)*IF(Main!$Q$24,1,0)</f>
        <v>0.16209278194865639</v>
      </c>
      <c r="T152">
        <f>IF(R152=10,0,$O$188)*IF(Main!$Q$23,1,0)*IF($A152&lt;Main!$S$29,1,0)</f>
        <v>0</v>
      </c>
    </row>
    <row r="153" spans="1:20" x14ac:dyDescent="0.3">
      <c r="A153">
        <v>7.1</v>
      </c>
      <c r="B153" s="48">
        <f>Main!$B$18</f>
        <v>1.171664943123061</v>
      </c>
      <c r="C153">
        <f>1/SQRT((1-Calculation!$B$21/Calculation!$B$19*((1/'Frequency Data'!$A153)^2-1))^2+(Calculation!$B$3*'Frequency Data'!$A153*Calculation!$B$21/Calculation!$B$11*(1-(1/'Frequency Data'!$A153)^2))^2)</f>
        <v>0.44617266934051714</v>
      </c>
      <c r="D153">
        <f>1/SQRT((1-Calculation!$D$21/Calculation!$D$19*((1/'Frequency Data'!$A153)^2-1))^2+(Calculation!$D$3*'Frequency Data'!$A153*Calculation!$D$21/Calculation!$D$11*(1-(1/'Frequency Data'!$A153)^2))^2)</f>
        <v>0.27806667878237801</v>
      </c>
      <c r="E153" s="48">
        <f>Main!$B$19</f>
        <v>0.94069505396750086</v>
      </c>
      <c r="F153" s="48"/>
      <c r="G153" s="63">
        <f>IF(A153&lt;Main!$K$23,0,Main!$B$18)*IF(A153&lt;Main!$L$23,1,0)</f>
        <v>0</v>
      </c>
      <c r="H153" s="63">
        <f>IF(A153&lt;Main!$K$24,0,Main!$B$18)*IF(A153&lt;Main!$L$24,1,0)</f>
        <v>0</v>
      </c>
      <c r="J153">
        <f>IF(A153&gt;Main!$K$23,ABS(C153-$E153),10)</f>
        <v>0.49452238462698372</v>
      </c>
      <c r="L153">
        <f>IF(A153&gt;Main!$K$23,ABS(D153-E153),10)</f>
        <v>0.66262837518512285</v>
      </c>
      <c r="N153">
        <f>IF($A153&gt;Main!Q$28,ABS(O153-$E153),10)</f>
        <v>0.68547991518146723</v>
      </c>
      <c r="O153">
        <f>1/SQRT((1-Calculation!$D$21/Calculation!$D$19*((1/'Frequency Data'!$A153)^2-1))^2+(Calculation!$D$3*'Frequency Data'!$A153*Calculation!$D$21/Calculation!$G$11*(1-(1/'Frequency Data'!$A153)^2))^2)*IF(Main!$Q$23,1,0)</f>
        <v>0.25521513878603358</v>
      </c>
      <c r="P153">
        <f>IF(N153=10,0,$O$188)*IF(Main!$Q$23,1,0)*IF($A153&lt;Main!$S$28,1,0)</f>
        <v>0</v>
      </c>
      <c r="R153">
        <f>IF($A153&gt;Main!Q$29,ABS(S153-$E153),10)</f>
        <v>0.78089267357706771</v>
      </c>
      <c r="S153">
        <f>1/SQRT((1-Calculation!$D$21/Calculation!$D$19*((1/'Frequency Data'!$A153)^2-1))^2+(Calculation!$D$3*'Frequency Data'!$A153*Calculation!$D$21/Calculation!$H$11*(1-(1/'Frequency Data'!$A153)^2))^2)*IF(Main!$Q$24,1,0)</f>
        <v>0.15980238039043312</v>
      </c>
      <c r="T153">
        <f>IF(R153=10,0,$O$188)*IF(Main!$Q$23,1,0)*IF($A153&lt;Main!$S$29,1,0)</f>
        <v>0</v>
      </c>
    </row>
    <row r="154" spans="1:20" x14ac:dyDescent="0.3">
      <c r="A154">
        <v>7.2000000000000099</v>
      </c>
      <c r="B154" s="48">
        <f>Main!$B$18</f>
        <v>1.171664943123061</v>
      </c>
      <c r="C154">
        <f>1/SQRT((1-Calculation!$B$21/Calculation!$B$19*((1/'Frequency Data'!$A154)^2-1))^2+(Calculation!$B$3*'Frequency Data'!$A154*Calculation!$B$21/Calculation!$B$11*(1-(1/'Frequency Data'!$A154)^2))^2)</f>
        <v>0.44120219013702566</v>
      </c>
      <c r="D154">
        <f>1/SQRT((1-Calculation!$D$21/Calculation!$D$19*((1/'Frequency Data'!$A154)^2-1))^2+(Calculation!$D$3*'Frequency Data'!$A154*Calculation!$D$21/Calculation!$D$11*(1-(1/'Frequency Data'!$A154)^2))^2)</f>
        <v>0.27447858495647898</v>
      </c>
      <c r="E154" s="48">
        <f>Main!$B$19</f>
        <v>0.94069505396750086</v>
      </c>
      <c r="F154" s="48"/>
      <c r="G154" s="63">
        <f>IF(A154&lt;Main!$K$23,0,Main!$B$18)*IF(A154&lt;Main!$L$23,1,0)</f>
        <v>0</v>
      </c>
      <c r="H154" s="63">
        <f>IF(A154&lt;Main!$K$24,0,Main!$B$18)*IF(A154&lt;Main!$L$24,1,0)</f>
        <v>0</v>
      </c>
      <c r="J154">
        <f>IF(A154&gt;Main!$K$23,ABS(C154-$E154),10)</f>
        <v>0.4994928638304752</v>
      </c>
      <c r="L154">
        <f>IF(A154&gt;Main!$K$23,ABS(D154-E154),10)</f>
        <v>0.66621646901102194</v>
      </c>
      <c r="N154">
        <f>IF($A154&gt;Main!Q$28,ABS(O154-$E154),10)</f>
        <v>0.68883501990303819</v>
      </c>
      <c r="O154">
        <f>1/SQRT((1-Calculation!$D$21/Calculation!$D$19*((1/'Frequency Data'!$A154)^2-1))^2+(Calculation!$D$3*'Frequency Data'!$A154*Calculation!$D$21/Calculation!$G$11*(1-(1/'Frequency Data'!$A154)^2))^2)*IF(Main!$Q$23,1,0)</f>
        <v>0.25186003406446267</v>
      </c>
      <c r="P154">
        <f>IF(N154=10,0,$O$188)*IF(Main!$Q$23,1,0)*IF($A154&lt;Main!$S$28,1,0)</f>
        <v>0</v>
      </c>
      <c r="R154">
        <f>IF($A154&gt;Main!Q$29,ABS(S154-$E154),10)</f>
        <v>0.78311916997130382</v>
      </c>
      <c r="S154">
        <f>1/SQRT((1-Calculation!$D$21/Calculation!$D$19*((1/'Frequency Data'!$A154)^2-1))^2+(Calculation!$D$3*'Frequency Data'!$A154*Calculation!$D$21/Calculation!$H$11*(1-(1/'Frequency Data'!$A154)^2))^2)*IF(Main!$Q$24,1,0)</f>
        <v>0.15757588399619701</v>
      </c>
      <c r="T154">
        <f>IF(R154=10,0,$O$188)*IF(Main!$Q$23,1,0)*IF($A154&lt;Main!$S$29,1,0)</f>
        <v>0</v>
      </c>
    </row>
    <row r="155" spans="1:20" x14ac:dyDescent="0.3">
      <c r="A155">
        <v>7.3000000000000096</v>
      </c>
      <c r="B155" s="48">
        <f>Main!$B$18</f>
        <v>1.171664943123061</v>
      </c>
      <c r="C155">
        <f>1/SQRT((1-Calculation!$B$21/Calculation!$B$19*((1/'Frequency Data'!$A155)^2-1))^2+(Calculation!$B$3*'Frequency Data'!$A155*Calculation!$B$21/Calculation!$B$11*(1-(1/'Frequency Data'!$A155)^2))^2)</f>
        <v>0.43632820253527843</v>
      </c>
      <c r="D155">
        <f>1/SQRT((1-Calculation!$D$21/Calculation!$D$19*((1/'Frequency Data'!$A155)^2-1))^2+(Calculation!$D$3*'Frequency Data'!$A155*Calculation!$D$21/Calculation!$D$11*(1-(1/'Frequency Data'!$A155)^2))^2)</f>
        <v>0.27097859449784084</v>
      </c>
      <c r="E155" s="48">
        <f>Main!$B$19</f>
        <v>0.94069505396750086</v>
      </c>
      <c r="F155" s="48"/>
      <c r="G155" s="63">
        <f>IF(A155&lt;Main!$K$23,0,Main!$B$18)*IF(A155&lt;Main!$L$23,1,0)</f>
        <v>0</v>
      </c>
      <c r="H155" s="63">
        <f>IF(A155&lt;Main!$K$24,0,Main!$B$18)*IF(A155&lt;Main!$L$24,1,0)</f>
        <v>0</v>
      </c>
      <c r="J155">
        <f>IF(A155&gt;Main!$K$23,ABS(C155-$E155),10)</f>
        <v>0.50436685143222237</v>
      </c>
      <c r="L155">
        <f>IF(A155&gt;Main!$K$23,ABS(D155-E155),10)</f>
        <v>0.66971645946966007</v>
      </c>
      <c r="N155">
        <f>IF($A155&gt;Main!Q$28,ABS(O155-$E155),10)</f>
        <v>0.69210539839497076</v>
      </c>
      <c r="O155">
        <f>1/SQRT((1-Calculation!$D$21/Calculation!$D$19*((1/'Frequency Data'!$A155)^2-1))^2+(Calculation!$D$3*'Frequency Data'!$A155*Calculation!$D$21/Calculation!$G$11*(1-(1/'Frequency Data'!$A155)^2))^2)*IF(Main!$Q$23,1,0)</f>
        <v>0.24858965557253007</v>
      </c>
      <c r="P155">
        <f>IF(N155=10,0,$O$188)*IF(Main!$Q$23,1,0)*IF($A155&lt;Main!$S$28,1,0)</f>
        <v>0</v>
      </c>
      <c r="R155">
        <f>IF($A155&gt;Main!Q$29,ABS(S155-$E155),10)</f>
        <v>0.78528440135087973</v>
      </c>
      <c r="S155">
        <f>1/SQRT((1-Calculation!$D$21/Calculation!$D$19*((1/'Frequency Data'!$A155)^2-1))^2+(Calculation!$D$3*'Frequency Data'!$A155*Calculation!$D$21/Calculation!$H$11*(1-(1/'Frequency Data'!$A155)^2))^2)*IF(Main!$Q$24,1,0)</f>
        <v>0.15541065261662118</v>
      </c>
      <c r="T155">
        <f>IF(R155=10,0,$O$188)*IF(Main!$Q$23,1,0)*IF($A155&lt;Main!$S$29,1,0)</f>
        <v>0</v>
      </c>
    </row>
    <row r="156" spans="1:20" x14ac:dyDescent="0.3">
      <c r="A156">
        <v>7.4000000000000101</v>
      </c>
      <c r="B156" s="48">
        <f>Main!$B$18</f>
        <v>1.171664943123061</v>
      </c>
      <c r="C156">
        <f>1/SQRT((1-Calculation!$B$21/Calculation!$B$19*((1/'Frequency Data'!$A156)^2-1))^2+(Calculation!$B$3*'Frequency Data'!$A156*Calculation!$B$21/Calculation!$B$11*(1-(1/'Frequency Data'!$A156)^2))^2)</f>
        <v>0.43154838870751694</v>
      </c>
      <c r="D156">
        <f>1/SQRT((1-Calculation!$D$21/Calculation!$D$19*((1/'Frequency Data'!$A156)^2-1))^2+(Calculation!$D$3*'Frequency Data'!$A156*Calculation!$D$21/Calculation!$D$11*(1-(1/'Frequency Data'!$A156)^2))^2)</f>
        <v>0.26756362610295897</v>
      </c>
      <c r="E156" s="48">
        <f>Main!$B$19</f>
        <v>0.94069505396750086</v>
      </c>
      <c r="F156" s="48"/>
      <c r="G156" s="63">
        <f>IF(A156&lt;Main!$K$23,0,Main!$B$18)*IF(A156&lt;Main!$L$23,1,0)</f>
        <v>0</v>
      </c>
      <c r="H156" s="63">
        <f>IF(A156&lt;Main!$K$24,0,Main!$B$18)*IF(A156&lt;Main!$L$24,1,0)</f>
        <v>0</v>
      </c>
      <c r="J156">
        <f>IF(A156&gt;Main!$K$23,ABS(C156-$E156),10)</f>
        <v>0.50914666525998387</v>
      </c>
      <c r="L156">
        <f>IF(A156&gt;Main!$K$23,ABS(D156-E156),10)</f>
        <v>0.67313142786454194</v>
      </c>
      <c r="N156">
        <f>IF($A156&gt;Main!Q$28,ABS(O156-$E156),10)</f>
        <v>0.69529413119770944</v>
      </c>
      <c r="O156">
        <f>1/SQRT((1-Calculation!$D$21/Calculation!$D$19*((1/'Frequency Data'!$A156)^2-1))^2+(Calculation!$D$3*'Frequency Data'!$A156*Calculation!$D$21/Calculation!$G$11*(1-(1/'Frequency Data'!$A156)^2))^2)*IF(Main!$Q$23,1,0)</f>
        <v>0.24540092276979136</v>
      </c>
      <c r="P156">
        <f>IF(N156=10,0,$O$188)*IF(Main!$Q$23,1,0)*IF($A156&lt;Main!$S$28,1,0)</f>
        <v>0</v>
      </c>
      <c r="R156">
        <f>IF($A156&gt;Main!Q$29,ABS(S156-$E156),10)</f>
        <v>0.78739086433360717</v>
      </c>
      <c r="S156">
        <f>1/SQRT((1-Calculation!$D$21/Calculation!$D$19*((1/'Frequency Data'!$A156)^2-1))^2+(Calculation!$D$3*'Frequency Data'!$A156*Calculation!$D$21/Calculation!$H$11*(1-(1/'Frequency Data'!$A156)^2))^2)*IF(Main!$Q$24,1,0)</f>
        <v>0.15330418963389364</v>
      </c>
      <c r="T156">
        <f>IF(R156=10,0,$O$188)*IF(Main!$Q$23,1,0)*IF($A156&lt;Main!$S$29,1,0)</f>
        <v>0</v>
      </c>
    </row>
    <row r="157" spans="1:20" x14ac:dyDescent="0.3">
      <c r="A157">
        <v>7.5000000000000098</v>
      </c>
      <c r="B157" s="48">
        <f>Main!$B$18</f>
        <v>1.171664943123061</v>
      </c>
      <c r="C157">
        <f>1/SQRT((1-Calculation!$B$21/Calculation!$B$19*((1/'Frequency Data'!$A157)^2-1))^2+(Calculation!$B$3*'Frequency Data'!$A157*Calculation!$B$21/Calculation!$B$11*(1-(1/'Frequency Data'!$A157)^2))^2)</f>
        <v>0.42686048073943067</v>
      </c>
      <c r="D157">
        <f>1/SQRT((1-Calculation!$D$21/Calculation!$D$19*((1/'Frequency Data'!$A157)^2-1))^2+(Calculation!$D$3*'Frequency Data'!$A157*Calculation!$D$21/Calculation!$D$11*(1-(1/'Frequency Data'!$A157)^2))^2)</f>
        <v>0.26423073427044724</v>
      </c>
      <c r="E157" s="48">
        <f>Main!$B$19</f>
        <v>0.94069505396750086</v>
      </c>
      <c r="F157" s="48"/>
      <c r="G157" s="63">
        <f>IF(A157&lt;Main!$K$23,0,Main!$B$18)*IF(A157&lt;Main!$L$23,1,0)</f>
        <v>0</v>
      </c>
      <c r="H157" s="63">
        <f>IF(A157&lt;Main!$K$24,0,Main!$B$18)*IF(A157&lt;Main!$L$24,1,0)</f>
        <v>0</v>
      </c>
      <c r="J157">
        <f>IF(A157&gt;Main!$K$23,ABS(C157-$E157),10)</f>
        <v>0.51383457322807025</v>
      </c>
      <c r="L157">
        <f>IF(A157&gt;Main!$K$23,ABS(D157-E157),10)</f>
        <v>0.67646431969705367</v>
      </c>
      <c r="N157">
        <f>IF($A157&gt;Main!Q$28,ABS(O157-$E157),10)</f>
        <v>0.69840415578059445</v>
      </c>
      <c r="O157">
        <f>1/SQRT((1-Calculation!$D$21/Calculation!$D$19*((1/'Frequency Data'!$A157)^2-1))^2+(Calculation!$D$3*'Frequency Data'!$A157*Calculation!$D$21/Calculation!$G$11*(1-(1/'Frequency Data'!$A157)^2))^2)*IF(Main!$Q$23,1,0)</f>
        <v>0.24229089818690644</v>
      </c>
      <c r="P157">
        <f>IF(N157=10,0,$O$188)*IF(Main!$Q$23,1,0)*IF($A157&lt;Main!$S$28,1,0)</f>
        <v>0</v>
      </c>
      <c r="R157">
        <f>IF($A157&gt;Main!Q$29,ABS(S157-$E157),10)</f>
        <v>0.78944092162983304</v>
      </c>
      <c r="S157">
        <f>1/SQRT((1-Calculation!$D$21/Calculation!$D$19*((1/'Frequency Data'!$A157)^2-1))^2+(Calculation!$D$3*'Frequency Data'!$A157*Calculation!$D$21/Calculation!$H$11*(1-(1/'Frequency Data'!$A157)^2))^2)*IF(Main!$Q$24,1,0)</f>
        <v>0.15125413233766777</v>
      </c>
      <c r="T157">
        <f>IF(R157=10,0,$O$188)*IF(Main!$Q$23,1,0)*IF($A157&lt;Main!$S$29,1,0)</f>
        <v>0</v>
      </c>
    </row>
    <row r="158" spans="1:20" x14ac:dyDescent="0.3">
      <c r="A158">
        <v>7.6000000000000103</v>
      </c>
      <c r="B158" s="48">
        <f>Main!$B$18</f>
        <v>1.171664943123061</v>
      </c>
      <c r="C158">
        <f>1/SQRT((1-Calculation!$B$21/Calculation!$B$19*((1/'Frequency Data'!$A158)^2-1))^2+(Calculation!$B$3*'Frequency Data'!$A158*Calculation!$B$21/Calculation!$B$11*(1-(1/'Frequency Data'!$A158)^2))^2)</f>
        <v>0.42226226103052933</v>
      </c>
      <c r="D158">
        <f>1/SQRT((1-Calculation!$D$21/Calculation!$D$19*((1/'Frequency Data'!$A158)^2-1))^2+(Calculation!$D$3*'Frequency Data'!$A158*Calculation!$D$21/Calculation!$D$11*(1-(1/'Frequency Data'!$A158)^2))^2)</f>
        <v>0.26097710229310017</v>
      </c>
      <c r="E158" s="48">
        <f>Main!$B$19</f>
        <v>0.94069505396750086</v>
      </c>
      <c r="F158" s="48"/>
      <c r="G158" s="63">
        <f>IF(A158&lt;Main!$K$23,0,Main!$B$18)*IF(A158&lt;Main!$L$23,1,0)</f>
        <v>0</v>
      </c>
      <c r="H158" s="63">
        <f>IF(A158&lt;Main!$K$24,0,Main!$B$18)*IF(A158&lt;Main!$L$24,1,0)</f>
        <v>0</v>
      </c>
      <c r="J158">
        <f>IF(A158&gt;Main!$K$23,ABS(C158-$E158),10)</f>
        <v>0.51843279293697153</v>
      </c>
      <c r="L158">
        <f>IF(A158&gt;Main!$K$23,ABS(D158-E158),10)</f>
        <v>0.67971795167440074</v>
      </c>
      <c r="N158">
        <f>IF($A158&gt;Main!Q$28,ABS(O158-$E158),10)</f>
        <v>0.70143827447018958</v>
      </c>
      <c r="O158">
        <f>1/SQRT((1-Calculation!$D$21/Calculation!$D$19*((1/'Frequency Data'!$A158)^2-1))^2+(Calculation!$D$3*'Frequency Data'!$A158*Calculation!$D$21/Calculation!$G$11*(1-(1/'Frequency Data'!$A158)^2))^2)*IF(Main!$Q$23,1,0)</f>
        <v>0.23925677949731131</v>
      </c>
      <c r="P158">
        <f>IF(N158=10,0,$O$188)*IF(Main!$Q$23,1,0)*IF($A158&lt;Main!$S$28,1,0)</f>
        <v>0</v>
      </c>
      <c r="R158">
        <f>IF($A158&gt;Main!Q$29,ABS(S158-$E158),10)</f>
        <v>0.79143681090263196</v>
      </c>
      <c r="S158">
        <f>1/SQRT((1-Calculation!$D$21/Calculation!$D$19*((1/'Frequency Data'!$A158)^2-1))^2+(Calculation!$D$3*'Frequency Data'!$A158*Calculation!$D$21/Calculation!$H$11*(1-(1/'Frequency Data'!$A158)^2))^2)*IF(Main!$Q$24,1,0)</f>
        <v>0.1492582430648689</v>
      </c>
      <c r="T158">
        <f>IF(R158=10,0,$O$188)*IF(Main!$Q$23,1,0)*IF($A158&lt;Main!$S$29,1,0)</f>
        <v>0</v>
      </c>
    </row>
    <row r="159" spans="1:20" x14ac:dyDescent="0.3">
      <c r="A159">
        <v>7.7000000000000099</v>
      </c>
      <c r="B159" s="48">
        <f>Main!$B$18</f>
        <v>1.171664943123061</v>
      </c>
      <c r="C159">
        <f>1/SQRT((1-Calculation!$B$21/Calculation!$B$19*((1/'Frequency Data'!$A159)^2-1))^2+(Calculation!$B$3*'Frequency Data'!$A159*Calculation!$B$21/Calculation!$B$11*(1-(1/'Frequency Data'!$A159)^2))^2)</f>
        <v>0.41775156247934075</v>
      </c>
      <c r="D159">
        <f>1/SQRT((1-Calculation!$D$21/Calculation!$D$19*((1/'Frequency Data'!$A159)^2-1))^2+(Calculation!$D$3*'Frequency Data'!$A159*Calculation!$D$21/Calculation!$D$11*(1-(1/'Frequency Data'!$A159)^2))^2)</f>
        <v>0.25780003564955917</v>
      </c>
      <c r="E159" s="48">
        <f>Main!$B$19</f>
        <v>0.94069505396750086</v>
      </c>
      <c r="F159" s="48"/>
      <c r="G159" s="63">
        <f>IF(A159&lt;Main!$K$23,0,Main!$B$18)*IF(A159&lt;Main!$L$23,1,0)</f>
        <v>0</v>
      </c>
      <c r="H159" s="63">
        <f>IF(A159&lt;Main!$K$24,0,Main!$B$18)*IF(A159&lt;Main!$L$24,1,0)</f>
        <v>0</v>
      </c>
      <c r="J159">
        <f>IF(A159&gt;Main!$K$23,ABS(C159-$E159),10)</f>
        <v>0.52294349148816011</v>
      </c>
      <c r="L159">
        <f>IF(A159&gt;Main!$K$23,ABS(D159-E159),10)</f>
        <v>0.68289501831794164</v>
      </c>
      <c r="N159">
        <f>IF($A159&gt;Main!Q$28,ABS(O159-$E159),10)</f>
        <v>0.70439916187854534</v>
      </c>
      <c r="O159">
        <f>1/SQRT((1-Calculation!$D$21/Calculation!$D$19*((1/'Frequency Data'!$A159)^2-1))^2+(Calculation!$D$3*'Frequency Data'!$A159*Calculation!$D$21/Calculation!$G$11*(1-(1/'Frequency Data'!$A159)^2))^2)*IF(Main!$Q$23,1,0)</f>
        <v>0.23629589208895554</v>
      </c>
      <c r="P159">
        <f>IF(N159=10,0,$O$188)*IF(Main!$Q$23,1,0)*IF($A159&lt;Main!$S$28,1,0)</f>
        <v>0</v>
      </c>
      <c r="R159">
        <f>IF($A159&gt;Main!Q$29,ABS(S159-$E159),10)</f>
        <v>0.79338065293389159</v>
      </c>
      <c r="S159">
        <f>1/SQRT((1-Calculation!$D$21/Calculation!$D$19*((1/'Frequency Data'!$A159)^2-1))^2+(Calculation!$D$3*'Frequency Data'!$A159*Calculation!$D$21/Calculation!$H$11*(1-(1/'Frequency Data'!$A159)^2))^2)*IF(Main!$Q$24,1,0)</f>
        <v>0.14731440103360924</v>
      </c>
      <c r="T159">
        <f>IF(R159=10,0,$O$188)*IF(Main!$Q$23,1,0)*IF($A159&lt;Main!$S$29,1,0)</f>
        <v>0</v>
      </c>
    </row>
    <row r="160" spans="1:20" x14ac:dyDescent="0.3">
      <c r="A160">
        <v>7.8000000000000096</v>
      </c>
      <c r="B160" s="48">
        <f>Main!$B$18</f>
        <v>1.171664943123061</v>
      </c>
      <c r="C160">
        <f>1/SQRT((1-Calculation!$B$21/Calculation!$B$19*((1/'Frequency Data'!$A160)^2-1))^2+(Calculation!$B$3*'Frequency Data'!$A160*Calculation!$B$21/Calculation!$B$11*(1-(1/'Frequency Data'!$A160)^2))^2)</f>
        <v>0.41332626848041193</v>
      </c>
      <c r="D160">
        <f>1/SQRT((1-Calculation!$D$21/Calculation!$D$19*((1/'Frequency Data'!$A160)^2-1))^2+(Calculation!$D$3*'Frequency Data'!$A160*Calculation!$D$21/Calculation!$D$11*(1-(1/'Frequency Data'!$A160)^2))^2)</f>
        <v>0.25469695577196871</v>
      </c>
      <c r="E160" s="48">
        <f>Main!$B$19</f>
        <v>0.94069505396750086</v>
      </c>
      <c r="F160" s="48"/>
      <c r="G160" s="63">
        <f>IF(A160&lt;Main!$K$23,0,Main!$B$18)*IF(A160&lt;Main!$L$23,1,0)</f>
        <v>0</v>
      </c>
      <c r="H160" s="63">
        <f>IF(A160&lt;Main!$K$24,0,Main!$B$18)*IF(A160&lt;Main!$L$24,1,0)</f>
        <v>0</v>
      </c>
      <c r="J160">
        <f>IF(A160&gt;Main!$K$23,ABS(C160-$E160),10)</f>
        <v>0.52736878548708899</v>
      </c>
      <c r="L160">
        <f>IF(A160&gt;Main!$K$23,ABS(D160-E160),10)</f>
        <v>0.68599809819553215</v>
      </c>
      <c r="N160">
        <f>IF($A160&gt;Main!Q$28,ABS(O160-$E160),10)</f>
        <v>0.70728937186591112</v>
      </c>
      <c r="O160">
        <f>1/SQRT((1-Calculation!$D$21/Calculation!$D$19*((1/'Frequency Data'!$A160)^2-1))^2+(Calculation!$D$3*'Frequency Data'!$A160*Calculation!$D$21/Calculation!$G$11*(1-(1/'Frequency Data'!$A160)^2))^2)*IF(Main!$Q$23,1,0)</f>
        <v>0.23340568210158974</v>
      </c>
      <c r="P160">
        <f>IF(N160=10,0,$O$188)*IF(Main!$Q$23,1,0)*IF($A160&lt;Main!$S$28,1,0)</f>
        <v>0</v>
      </c>
      <c r="R160">
        <f>IF($A160&gt;Main!Q$29,ABS(S160-$E160),10)</f>
        <v>0.79527445915886552</v>
      </c>
      <c r="S160">
        <f>1/SQRT((1-Calculation!$D$21/Calculation!$D$19*((1/'Frequency Data'!$A160)^2-1))^2+(Calculation!$D$3*'Frequency Data'!$A160*Calculation!$D$21/Calculation!$H$11*(1-(1/'Frequency Data'!$A160)^2))^2)*IF(Main!$Q$24,1,0)</f>
        <v>0.14542059480863531</v>
      </c>
      <c r="T160">
        <f>IF(R160=10,0,$O$188)*IF(Main!$Q$23,1,0)*IF($A160&lt;Main!$S$29,1,0)</f>
        <v>0</v>
      </c>
    </row>
    <row r="161" spans="1:20" x14ac:dyDescent="0.3">
      <c r="A161">
        <v>7.9000000000000101</v>
      </c>
      <c r="B161" s="48">
        <f>Main!$B$18</f>
        <v>1.171664943123061</v>
      </c>
      <c r="C161">
        <f>1/SQRT((1-Calculation!$B$21/Calculation!$B$19*((1/'Frequency Data'!$A161)^2-1))^2+(Calculation!$B$3*'Frequency Data'!$A161*Calculation!$B$21/Calculation!$B$11*(1-(1/'Frequency Data'!$A161)^2))^2)</f>
        <v>0.40898431275733499</v>
      </c>
      <c r="D161">
        <f>1/SQRT((1-Calculation!$D$21/Calculation!$D$19*((1/'Frequency Data'!$A161)^2-1))^2+(Calculation!$D$3*'Frequency Data'!$A161*Calculation!$D$21/Calculation!$D$11*(1-(1/'Frequency Data'!$A161)^2))^2)</f>
        <v>0.25166539416729988</v>
      </c>
      <c r="E161" s="48">
        <f>Main!$B$19</f>
        <v>0.94069505396750086</v>
      </c>
      <c r="F161" s="48"/>
      <c r="G161" s="63">
        <f>IF(A161&lt;Main!$K$23,0,Main!$B$18)*IF(A161&lt;Main!$L$23,1,0)</f>
        <v>0</v>
      </c>
      <c r="H161" s="63">
        <f>IF(A161&lt;Main!$K$24,0,Main!$B$18)*IF(A161&lt;Main!$L$24,1,0)</f>
        <v>0</v>
      </c>
      <c r="J161">
        <f>IF(A161&gt;Main!$K$23,ABS(C161-$E161),10)</f>
        <v>0.53171074121016582</v>
      </c>
      <c r="L161">
        <f>IF(A161&gt;Main!$K$23,ABS(D161-E161),10)</f>
        <v>0.68902965980020103</v>
      </c>
      <c r="N161">
        <f>IF($A161&gt;Main!Q$28,ABS(O161-$E161),10)</f>
        <v>0.7101113440699105</v>
      </c>
      <c r="O161">
        <f>1/SQRT((1-Calculation!$D$21/Calculation!$D$19*((1/'Frequency Data'!$A161)^2-1))^2+(Calculation!$D$3*'Frequency Data'!$A161*Calculation!$D$21/Calculation!$G$11*(1-(1/'Frequency Data'!$A161)^2))^2)*IF(Main!$Q$23,1,0)</f>
        <v>0.23058370989759042</v>
      </c>
      <c r="P161">
        <f>IF(N161=10,0,$O$188)*IF(Main!$Q$23,1,0)*IF($A161&lt;Main!$S$28,1,0)</f>
        <v>0</v>
      </c>
      <c r="R161">
        <f>IF($A161&gt;Main!Q$29,ABS(S161-$E161),10)</f>
        <v>0.79712013862540965</v>
      </c>
      <c r="S161">
        <f>1/SQRT((1-Calculation!$D$21/Calculation!$D$19*((1/'Frequency Data'!$A161)^2-1))^2+(Calculation!$D$3*'Frequency Data'!$A161*Calculation!$D$21/Calculation!$H$11*(1-(1/'Frequency Data'!$A161)^2))^2)*IF(Main!$Q$24,1,0)</f>
        <v>0.14357491534209121</v>
      </c>
      <c r="T161">
        <f>IF(R161=10,0,$O$188)*IF(Main!$Q$23,1,0)*IF($A161&lt;Main!$S$29,1,0)</f>
        <v>0</v>
      </c>
    </row>
    <row r="162" spans="1:20" x14ac:dyDescent="0.3">
      <c r="A162">
        <v>8.0000000000000107</v>
      </c>
      <c r="B162" s="48">
        <f>Main!$B$18</f>
        <v>1.171664943123061</v>
      </c>
      <c r="C162">
        <f>1/SQRT((1-Calculation!$B$21/Calculation!$B$19*((1/'Frequency Data'!$A162)^2-1))^2+(Calculation!$B$3*'Frequency Data'!$A162*Calculation!$B$21/Calculation!$B$11*(1-(1/'Frequency Data'!$A162)^2))^2)</f>
        <v>0.40472367905350454</v>
      </c>
      <c r="D162">
        <f>1/SQRT((1-Calculation!$D$21/Calculation!$D$19*((1/'Frequency Data'!$A162)^2-1))^2+(Calculation!$D$3*'Frequency Data'!$A162*Calculation!$D$21/Calculation!$D$11*(1-(1/'Frequency Data'!$A162)^2))^2)</f>
        <v>0.24870298687126435</v>
      </c>
      <c r="E162" s="48">
        <f>Main!$B$19</f>
        <v>0.94069505396750086</v>
      </c>
      <c r="F162" s="48"/>
      <c r="G162" s="63">
        <f>IF(A162&lt;Main!$K$23,0,Main!$B$18)*IF(A162&lt;Main!$L$23,1,0)</f>
        <v>0</v>
      </c>
      <c r="H162" s="63">
        <f>IF(A162&lt;Main!$K$24,0,Main!$B$18)*IF(A162&lt;Main!$L$24,1,0)</f>
        <v>0</v>
      </c>
      <c r="J162">
        <f>IF(A162&gt;Main!$K$23,ABS(C162-$E162),10)</f>
        <v>0.53597137491399627</v>
      </c>
      <c r="L162">
        <f>IF(A162&gt;Main!$K$23,ABS(D162-E162),10)</f>
        <v>0.69199206709623651</v>
      </c>
      <c r="N162">
        <f>IF($A162&gt;Main!Q$28,ABS(O162-$E162),10)</f>
        <v>0.71286741003087095</v>
      </c>
      <c r="O162">
        <f>1/SQRT((1-Calculation!$D$21/Calculation!$D$19*((1/'Frequency Data'!$A162)^2-1))^2+(Calculation!$D$3*'Frequency Data'!$A162*Calculation!$D$21/Calculation!$G$11*(1-(1/'Frequency Data'!$A162)^2))^2)*IF(Main!$Q$23,1,0)</f>
        <v>0.22782764393662994</v>
      </c>
      <c r="P162">
        <f>IF(N162=10,0,$O$188)*IF(Main!$Q$23,1,0)*IF($A162&lt;Main!$S$28,1,0)</f>
        <v>0</v>
      </c>
      <c r="R162">
        <f>IF($A162&gt;Main!Q$29,ABS(S162-$E162),10)</f>
        <v>0.79891950442847959</v>
      </c>
      <c r="S162">
        <f>1/SQRT((1-Calculation!$D$21/Calculation!$D$19*((1/'Frequency Data'!$A162)^2-1))^2+(Calculation!$D$3*'Frequency Data'!$A162*Calculation!$D$21/Calculation!$H$11*(1-(1/'Frequency Data'!$A162)^2))^2)*IF(Main!$Q$24,1,0)</f>
        <v>0.14177554953902127</v>
      </c>
      <c r="T162">
        <f>IF(R162=10,0,$O$188)*IF(Main!$Q$23,1,0)*IF($A162&lt;Main!$S$29,1,0)</f>
        <v>0</v>
      </c>
    </row>
    <row r="163" spans="1:20" x14ac:dyDescent="0.3">
      <c r="A163">
        <v>8.1000000000000103</v>
      </c>
      <c r="B163" s="48">
        <f>Main!$B$18</f>
        <v>1.171664943123061</v>
      </c>
      <c r="C163">
        <f>1/SQRT((1-Calculation!$B$21/Calculation!$B$19*((1/'Frequency Data'!$A163)^2-1))^2+(Calculation!$B$3*'Frequency Data'!$A163*Calculation!$B$21/Calculation!$B$11*(1-(1/'Frequency Data'!$A163)^2))^2)</f>
        <v>0.40054240070004016</v>
      </c>
      <c r="D163">
        <f>1/SQRT((1-Calculation!$D$21/Calculation!$D$19*((1/'Frequency Data'!$A163)^2-1))^2+(Calculation!$D$3*'Frequency Data'!$A163*Calculation!$D$21/Calculation!$D$11*(1-(1/'Frequency Data'!$A163)^2))^2)</f>
        <v>0.24580746921494129</v>
      </c>
      <c r="E163" s="48">
        <f>Main!$B$19</f>
        <v>0.94069505396750086</v>
      </c>
      <c r="F163" s="48"/>
      <c r="G163" s="63">
        <f>IF(A163&lt;Main!$K$23,0,Main!$B$18)*IF(A163&lt;Main!$L$23,1,0)</f>
        <v>0</v>
      </c>
      <c r="H163" s="63">
        <f>IF(A163&lt;Main!$K$24,0,Main!$B$18)*IF(A163&lt;Main!$L$24,1,0)</f>
        <v>0</v>
      </c>
      <c r="J163">
        <f>IF(A163&gt;Main!$K$23,ABS(C163-$E163),10)</f>
        <v>0.54015265326746076</v>
      </c>
      <c r="L163">
        <f>IF(A163&gt;Main!$K$23,ABS(D163-E163),10)</f>
        <v>0.69488758475255952</v>
      </c>
      <c r="N163">
        <f>IF($A163&gt;Main!Q$28,ABS(O163-$E163),10)</f>
        <v>0.71555979894084876</v>
      </c>
      <c r="O163">
        <f>1/SQRT((1-Calculation!$D$21/Calculation!$D$19*((1/'Frequency Data'!$A163)^2-1))^2+(Calculation!$D$3*'Frequency Data'!$A163*Calculation!$D$21/Calculation!$G$11*(1-(1/'Frequency Data'!$A163)^2))^2)*IF(Main!$Q$23,1,0)</f>
        <v>0.22513525502665208</v>
      </c>
      <c r="P163">
        <f>IF(N163=10,0,$O$188)*IF(Main!$Q$23,1,0)*IF($A163&lt;Main!$S$28,1,0)</f>
        <v>0</v>
      </c>
      <c r="R163">
        <f>IF($A163&gt;Main!Q$29,ABS(S163-$E163),10)</f>
        <v>0.80067427966545268</v>
      </c>
      <c r="S163">
        <f>1/SQRT((1-Calculation!$D$21/Calculation!$D$19*((1/'Frequency Data'!$A163)^2-1))^2+(Calculation!$D$3*'Frequency Data'!$A163*Calculation!$D$21/Calculation!$H$11*(1-(1/'Frequency Data'!$A163)^2))^2)*IF(Main!$Q$24,1,0)</f>
        <v>0.14002077430204818</v>
      </c>
      <c r="T163">
        <f>IF(R163=10,0,$O$188)*IF(Main!$Q$23,1,0)*IF($A163&lt;Main!$S$29,1,0)</f>
        <v>0</v>
      </c>
    </row>
    <row r="164" spans="1:20" x14ac:dyDescent="0.3">
      <c r="A164">
        <v>8.2000000000000099</v>
      </c>
      <c r="B164" s="48">
        <f>Main!$B$18</f>
        <v>1.171664943123061</v>
      </c>
      <c r="C164">
        <f>1/SQRT((1-Calculation!$B$21/Calculation!$B$19*((1/'Frequency Data'!$A164)^2-1))^2+(Calculation!$B$3*'Frequency Data'!$A164*Calculation!$B$21/Calculation!$B$11*(1-(1/'Frequency Data'!$A164)^2))^2)</f>
        <v>0.39643856007824541</v>
      </c>
      <c r="D164">
        <f>1/SQRT((1-Calculation!$D$21/Calculation!$D$19*((1/'Frequency Data'!$A164)^2-1))^2+(Calculation!$D$3*'Frequency Data'!$A164*Calculation!$D$21/Calculation!$D$11*(1-(1/'Frequency Data'!$A164)^2))^2)</f>
        <v>0.24297667088539718</v>
      </c>
      <c r="E164" s="48">
        <f>Main!$B$19</f>
        <v>0.94069505396750086</v>
      </c>
      <c r="F164" s="48"/>
      <c r="G164" s="63">
        <f>IF(A164&lt;Main!$K$23,0,Main!$B$18)*IF(A164&lt;Main!$L$23,1,0)</f>
        <v>0</v>
      </c>
      <c r="H164" s="63">
        <f>IF(A164&lt;Main!$K$24,0,Main!$B$18)*IF(A164&lt;Main!$L$24,1,0)</f>
        <v>0</v>
      </c>
      <c r="J164">
        <f>IF(A164&gt;Main!$K$23,ABS(C164-$E164),10)</f>
        <v>0.54425649388925545</v>
      </c>
      <c r="L164">
        <f>IF(A164&gt;Main!$K$23,ABS(D164-E164),10)</f>
        <v>0.69771838308210365</v>
      </c>
      <c r="N164">
        <f>IF($A164&gt;Main!Q$28,ABS(O164-$E164),10)</f>
        <v>0.71819064304188951</v>
      </c>
      <c r="O164">
        <f>1/SQRT((1-Calculation!$D$21/Calculation!$D$19*((1/'Frequency Data'!$A164)^2-1))^2+(Calculation!$D$3*'Frequency Data'!$A164*Calculation!$D$21/Calculation!$G$11*(1-(1/'Frequency Data'!$A164)^2))^2)*IF(Main!$Q$23,1,0)</f>
        <v>0.22250441092561132</v>
      </c>
      <c r="P164">
        <f>IF(N164=10,0,$O$188)*IF(Main!$Q$23,1,0)*IF($A164&lt;Main!$S$28,1,0)</f>
        <v>0</v>
      </c>
      <c r="R164">
        <f>IF($A164&gt;Main!Q$29,ABS(S164-$E164),10)</f>
        <v>0.80238610295337476</v>
      </c>
      <c r="S164">
        <f>1/SQRT((1-Calculation!$D$21/Calculation!$D$19*((1/'Frequency Data'!$A164)^2-1))^2+(Calculation!$D$3*'Frequency Data'!$A164*Calculation!$D$21/Calculation!$H$11*(1-(1/'Frequency Data'!$A164)^2))^2)*IF(Main!$Q$24,1,0)</f>
        <v>0.13830895101412605</v>
      </c>
      <c r="T164">
        <f>IF(R164=10,0,$O$188)*IF(Main!$Q$23,1,0)*IF($A164&lt;Main!$S$29,1,0)</f>
        <v>0</v>
      </c>
    </row>
    <row r="165" spans="1:20" x14ac:dyDescent="0.3">
      <c r="A165">
        <v>8.3000000000000096</v>
      </c>
      <c r="B165" s="48">
        <f>Main!$B$18</f>
        <v>1.171664943123061</v>
      </c>
      <c r="C165">
        <f>1/SQRT((1-Calculation!$B$21/Calculation!$B$19*((1/'Frequency Data'!$A165)^2-1))^2+(Calculation!$B$3*'Frequency Data'!$A165*Calculation!$B$21/Calculation!$B$11*(1-(1/'Frequency Data'!$A165)^2))^2)</f>
        <v>0.39241028799211258</v>
      </c>
      <c r="D165">
        <f>1/SQRT((1-Calculation!$D$21/Calculation!$D$19*((1/'Frequency Data'!$A165)^2-1))^2+(Calculation!$D$3*'Frequency Data'!$A165*Calculation!$D$21/Calculation!$D$11*(1-(1/'Frequency Data'!$A165)^2))^2)</f>
        <v>0.2402085112626775</v>
      </c>
      <c r="E165" s="48">
        <f>Main!$B$19</f>
        <v>0.94069505396750086</v>
      </c>
      <c r="F165" s="48"/>
      <c r="G165" s="63">
        <f>IF(A165&lt;Main!$K$23,0,Main!$B$18)*IF(A165&lt;Main!$L$23,1,0)</f>
        <v>0</v>
      </c>
      <c r="H165" s="63">
        <f>IF(A165&lt;Main!$K$24,0,Main!$B$18)*IF(A165&lt;Main!$L$24,1,0)</f>
        <v>0</v>
      </c>
      <c r="J165">
        <f>IF(A165&gt;Main!$K$23,ABS(C165-$E165),10)</f>
        <v>0.54828476597538822</v>
      </c>
      <c r="L165">
        <f>IF(A165&gt;Main!$K$23,ABS(D165-E165),10)</f>
        <v>0.70048654270482336</v>
      </c>
      <c r="N165">
        <f>IF($A165&gt;Main!Q$28,ABS(O165-$E165),10)</f>
        <v>0.72076198269721736</v>
      </c>
      <c r="O165">
        <f>1/SQRT((1-Calculation!$D$21/Calculation!$D$19*((1/'Frequency Data'!$A165)^2-1))^2+(Calculation!$D$3*'Frequency Data'!$A165*Calculation!$D$21/Calculation!$G$11*(1-(1/'Frequency Data'!$A165)^2))^2)*IF(Main!$Q$23,1,0)</f>
        <v>0.21993307127028355</v>
      </c>
      <c r="P165">
        <f>IF(N165=10,0,$O$188)*IF(Main!$Q$23,1,0)*IF($A165&lt;Main!$S$28,1,0)</f>
        <v>0</v>
      </c>
      <c r="R165">
        <f>IF($A165&gt;Main!Q$29,ABS(S165-$E165),10)</f>
        <v>0.80405653354525752</v>
      </c>
      <c r="S165">
        <f>1/SQRT((1-Calculation!$D$21/Calculation!$D$19*((1/'Frequency Data'!$A165)^2-1))^2+(Calculation!$D$3*'Frequency Data'!$A165*Calculation!$D$21/Calculation!$H$11*(1-(1/'Frequency Data'!$A165)^2))^2)*IF(Main!$Q$24,1,0)</f>
        <v>0.13663852042224336</v>
      </c>
      <c r="T165">
        <f>IF(R165=10,0,$O$188)*IF(Main!$Q$23,1,0)*IF($A165&lt;Main!$S$29,1,0)</f>
        <v>0</v>
      </c>
    </row>
    <row r="166" spans="1:20" x14ac:dyDescent="0.3">
      <c r="A166">
        <v>8.4000000000000092</v>
      </c>
      <c r="B166" s="48">
        <f>Main!$B$18</f>
        <v>1.171664943123061</v>
      </c>
      <c r="C166">
        <f>1/SQRT((1-Calculation!$B$21/Calculation!$B$19*((1/'Frequency Data'!$A166)^2-1))^2+(Calculation!$B$3*'Frequency Data'!$A166*Calculation!$B$21/Calculation!$B$11*(1-(1/'Frequency Data'!$A166)^2))^2)</f>
        <v>0.38845576296469703</v>
      </c>
      <c r="D166">
        <f>1/SQRT((1-Calculation!$D$21/Calculation!$D$19*((1/'Frequency Data'!$A166)^2-1))^2+(Calculation!$D$3*'Frequency Data'!$A166*Calculation!$D$21/Calculation!$D$11*(1-(1/'Frequency Data'!$A166)^2))^2)</f>
        <v>0.23750099501660071</v>
      </c>
      <c r="E166" s="48">
        <f>Main!$B$19</f>
        <v>0.94069505396750086</v>
      </c>
      <c r="F166" s="48"/>
      <c r="G166" s="63">
        <f>IF(A166&lt;Main!$K$23,0,Main!$B$18)*IF(A166&lt;Main!$L$23,1,0)</f>
        <v>0</v>
      </c>
      <c r="H166" s="63">
        <f>IF(A166&lt;Main!$K$24,0,Main!$B$18)*IF(A166&lt;Main!$L$24,1,0)</f>
        <v>0</v>
      </c>
      <c r="J166">
        <f>IF(A166&gt;Main!$K$23,ABS(C166-$E166),10)</f>
        <v>0.55223929100280378</v>
      </c>
      <c r="L166">
        <f>IF(A166&gt;Main!$K$23,ABS(D166-E166),10)</f>
        <v>0.70319405895090015</v>
      </c>
      <c r="N166">
        <f>IF($A166&gt;Main!Q$28,ABS(O166-$E166),10)</f>
        <v>0.72327577115733233</v>
      </c>
      <c r="O166">
        <f>1/SQRT((1-Calculation!$D$21/Calculation!$D$19*((1/'Frequency Data'!$A166)^2-1))^2+(Calculation!$D$3*'Frequency Data'!$A166*Calculation!$D$21/Calculation!$G$11*(1-(1/'Frequency Data'!$A166)^2))^2)*IF(Main!$Q$23,1,0)</f>
        <v>0.21741928281016851</v>
      </c>
      <c r="P166">
        <f>IF(N166=10,0,$O$188)*IF(Main!$Q$23,1,0)*IF($A166&lt;Main!$S$28,1,0)</f>
        <v>0</v>
      </c>
      <c r="R166">
        <f>IF($A166&gt;Main!Q$29,ABS(S166-$E166),10)</f>
        <v>0.80568705607900015</v>
      </c>
      <c r="S166">
        <f>1/SQRT((1-Calculation!$D$21/Calculation!$D$19*((1/'Frequency Data'!$A166)^2-1))^2+(Calculation!$D$3*'Frequency Data'!$A166*Calculation!$D$21/Calculation!$H$11*(1-(1/'Frequency Data'!$A166)^2))^2)*IF(Main!$Q$24,1,0)</f>
        <v>0.13500799788850074</v>
      </c>
      <c r="T166">
        <f>IF(R166=10,0,$O$188)*IF(Main!$Q$23,1,0)*IF($A166&lt;Main!$S$29,1,0)</f>
        <v>0</v>
      </c>
    </row>
    <row r="167" spans="1:20" x14ac:dyDescent="0.3">
      <c r="A167">
        <v>8.5000000000000107</v>
      </c>
      <c r="B167" s="48">
        <f>Main!$B$18</f>
        <v>1.171664943123061</v>
      </c>
      <c r="C167">
        <f>1/SQRT((1-Calculation!$B$21/Calculation!$B$19*((1/'Frequency Data'!$A167)^2-1))^2+(Calculation!$B$3*'Frequency Data'!$A167*Calculation!$B$21/Calculation!$B$11*(1-(1/'Frequency Data'!$A167)^2))^2)</f>
        <v>0.38457321047066934</v>
      </c>
      <c r="D167">
        <f>1/SQRT((1-Calculation!$D$21/Calculation!$D$19*((1/'Frequency Data'!$A167)^2-1))^2+(Calculation!$D$3*'Frequency Data'!$A167*Calculation!$D$21/Calculation!$D$11*(1-(1/'Frequency Data'!$A167)^2))^2)</f>
        <v>0.23485220794778136</v>
      </c>
      <c r="E167" s="48">
        <f>Main!$B$19</f>
        <v>0.94069505396750086</v>
      </c>
      <c r="F167" s="48"/>
      <c r="G167" s="63">
        <f>IF(A167&lt;Main!$K$23,0,Main!$B$18)*IF(A167&lt;Main!$L$23,1,0)</f>
        <v>0</v>
      </c>
      <c r="H167" s="63">
        <f>IF(A167&lt;Main!$K$24,0,Main!$B$18)*IF(A167&lt;Main!$L$24,1,0)</f>
        <v>0</v>
      </c>
      <c r="J167">
        <f>IF(A167&gt;Main!$K$23,ABS(C167-$E167),10)</f>
        <v>0.55612184349683158</v>
      </c>
      <c r="L167">
        <f>IF(A167&gt;Main!$K$23,ABS(D167-E167),10)</f>
        <v>0.70584284601971947</v>
      </c>
      <c r="N167">
        <f>IF($A167&gt;Main!Q$28,ABS(O167-$E167),10)</f>
        <v>0.72573387904141118</v>
      </c>
      <c r="O167">
        <f>1/SQRT((1-Calculation!$D$21/Calculation!$D$19*((1/'Frequency Data'!$A167)^2-1))^2+(Calculation!$D$3*'Frequency Data'!$A167*Calculation!$D$21/Calculation!$G$11*(1-(1/'Frequency Data'!$A167)^2))^2)*IF(Main!$Q$23,1,0)</f>
        <v>0.21496117492608965</v>
      </c>
      <c r="P167">
        <f>IF(N167=10,0,$O$188)*IF(Main!$Q$23,1,0)*IF($A167&lt;Main!$S$28,1,0)</f>
        <v>0</v>
      </c>
      <c r="R167">
        <f>IF($A167&gt;Main!Q$29,ABS(S167-$E167),10)</f>
        <v>0.80727908498933876</v>
      </c>
      <c r="S167">
        <f>1/SQRT((1-Calculation!$D$21/Calculation!$D$19*((1/'Frequency Data'!$A167)^2-1))^2+(Calculation!$D$3*'Frequency Data'!$A167*Calculation!$D$21/Calculation!$H$11*(1-(1/'Frequency Data'!$A167)^2))^2)*IF(Main!$Q$24,1,0)</f>
        <v>0.13341596897816208</v>
      </c>
      <c r="T167">
        <f>IF(R167=10,0,$O$188)*IF(Main!$Q$23,1,0)*IF($A167&lt;Main!$S$29,1,0)</f>
        <v>0</v>
      </c>
    </row>
    <row r="168" spans="1:20" x14ac:dyDescent="0.3">
      <c r="A168">
        <v>8.6000000000000103</v>
      </c>
      <c r="B168" s="48">
        <f>Main!$B$18</f>
        <v>1.171664943123061</v>
      </c>
      <c r="C168">
        <f>1/SQRT((1-Calculation!$B$21/Calculation!$B$19*((1/'Frequency Data'!$A168)^2-1))^2+(Calculation!$B$3*'Frequency Data'!$A168*Calculation!$B$21/Calculation!$B$11*(1-(1/'Frequency Data'!$A168)^2))^2)</f>
        <v>0.3807609021159799</v>
      </c>
      <c r="D168">
        <f>1/SQRT((1-Calculation!$D$21/Calculation!$D$19*((1/'Frequency Data'!$A168)^2-1))^2+(Calculation!$D$3*'Frequency Data'!$A168*Calculation!$D$21/Calculation!$D$11*(1-(1/'Frequency Data'!$A168)^2))^2)</f>
        <v>0.23226031305825698</v>
      </c>
      <c r="E168" s="48">
        <f>Main!$B$19</f>
        <v>0.94069505396750086</v>
      </c>
      <c r="F168" s="48"/>
      <c r="G168" s="63">
        <f>IF(A168&lt;Main!$K$23,0,Main!$B$18)*IF(A168&lt;Main!$L$23,1,0)</f>
        <v>0</v>
      </c>
      <c r="H168" s="63">
        <f>IF(A168&lt;Main!$K$24,0,Main!$B$18)*IF(A168&lt;Main!$L$24,1,0)</f>
        <v>0</v>
      </c>
      <c r="J168">
        <f>IF(A168&gt;Main!$K$23,ABS(C168-$E168),10)</f>
        <v>0.55993415185152096</v>
      </c>
      <c r="L168">
        <f>IF(A168&gt;Main!$K$23,ABS(D168-E168),10)</f>
        <v>0.70843474090924385</v>
      </c>
      <c r="N168">
        <f>IF($A168&gt;Main!Q$28,ABS(O168-$E168),10)</f>
        <v>0.72813809855293465</v>
      </c>
      <c r="O168">
        <f>1/SQRT((1-Calculation!$D$21/Calculation!$D$19*((1/'Frequency Data'!$A168)^2-1))^2+(Calculation!$D$3*'Frequency Data'!$A168*Calculation!$D$21/Calculation!$G$11*(1-(1/'Frequency Data'!$A168)^2))^2)*IF(Main!$Q$23,1,0)</f>
        <v>0.21255695541456626</v>
      </c>
      <c r="P168">
        <f>IF(N168=10,0,$O$188)*IF(Main!$Q$23,1,0)*IF($A168&lt;Main!$S$28,1,0)</f>
        <v>0</v>
      </c>
      <c r="R168">
        <f>IF($A168&gt;Main!Q$29,ABS(S168-$E168),10)</f>
        <v>0.8088339686103847</v>
      </c>
      <c r="S168">
        <f>1/SQRT((1-Calculation!$D$21/Calculation!$D$19*((1/'Frequency Data'!$A168)^2-1))^2+(Calculation!$D$3*'Frequency Data'!$A168*Calculation!$D$21/Calculation!$H$11*(1-(1/'Frequency Data'!$A168)^2))^2)*IF(Main!$Q$24,1,0)</f>
        <v>0.13186108535711613</v>
      </c>
      <c r="T168">
        <f>IF(R168=10,0,$O$188)*IF(Main!$Q$23,1,0)*IF($A168&lt;Main!$S$29,1,0)</f>
        <v>0</v>
      </c>
    </row>
    <row r="169" spans="1:20" x14ac:dyDescent="0.3">
      <c r="A169">
        <v>8.7000000000000099</v>
      </c>
      <c r="B169" s="48">
        <f>Main!$B$18</f>
        <v>1.171664943123061</v>
      </c>
      <c r="C169">
        <f>1/SQRT((1-Calculation!$B$21/Calculation!$B$19*((1/'Frequency Data'!$A169)^2-1))^2+(Calculation!$B$3*'Frequency Data'!$A169*Calculation!$B$21/Calculation!$B$11*(1-(1/'Frequency Data'!$A169)^2))^2)</f>
        <v>0.37701715477434244</v>
      </c>
      <c r="D169">
        <f>1/SQRT((1-Calculation!$D$21/Calculation!$D$19*((1/'Frequency Data'!$A169)^2-1))^2+(Calculation!$D$3*'Frequency Data'!$A169*Calculation!$D$21/Calculation!$D$11*(1-(1/'Frequency Data'!$A169)^2))^2)</f>
        <v>0.22972354683798363</v>
      </c>
      <c r="E169" s="48">
        <f>Main!$B$19</f>
        <v>0.94069505396750086</v>
      </c>
      <c r="F169" s="48"/>
      <c r="G169" s="63">
        <f>IF(A169&lt;Main!$K$23,0,Main!$B$18)*IF(A169&lt;Main!$L$23,1,0)</f>
        <v>0</v>
      </c>
      <c r="H169" s="63">
        <f>IF(A169&lt;Main!$K$24,0,Main!$B$18)*IF(A169&lt;Main!$L$24,1,0)</f>
        <v>0</v>
      </c>
      <c r="J169">
        <f>IF(A169&gt;Main!$K$23,ABS(C169-$E169),10)</f>
        <v>0.56367789919315836</v>
      </c>
      <c r="L169">
        <f>IF(A169&gt;Main!$K$23,ABS(D169-E169),10)</f>
        <v>0.71097150712951729</v>
      </c>
      <c r="N169">
        <f>IF($A169&gt;Main!Q$28,ABS(O169-$E169),10)</f>
        <v>0.73049014744711216</v>
      </c>
      <c r="O169">
        <f>1/SQRT((1-Calculation!$D$21/Calculation!$D$19*((1/'Frequency Data'!$A169)^2-1))^2+(Calculation!$D$3*'Frequency Data'!$A169*Calculation!$D$21/Calculation!$G$11*(1-(1/'Frequency Data'!$A169)^2))^2)*IF(Main!$Q$23,1,0)</f>
        <v>0.21020490652038873</v>
      </c>
      <c r="P169">
        <f>IF(N169=10,0,$O$188)*IF(Main!$Q$23,1,0)*IF($A169&lt;Main!$S$28,1,0)</f>
        <v>0</v>
      </c>
      <c r="R169">
        <f>IF($A169&gt;Main!Q$29,ABS(S169-$E169),10)</f>
        <v>0.81035299299376851</v>
      </c>
      <c r="S169">
        <f>1/SQRT((1-Calculation!$D$21/Calculation!$D$19*((1/'Frequency Data'!$A169)^2-1))^2+(Calculation!$D$3*'Frequency Data'!$A169*Calculation!$D$21/Calculation!$H$11*(1-(1/'Frequency Data'!$A169)^2))^2)*IF(Main!$Q$24,1,0)</f>
        <v>0.1303420609737323</v>
      </c>
      <c r="T169">
        <f>IF(R169=10,0,$O$188)*IF(Main!$Q$23,1,0)*IF($A169&lt;Main!$S$29,1,0)</f>
        <v>0</v>
      </c>
    </row>
    <row r="170" spans="1:20" x14ac:dyDescent="0.3">
      <c r="A170">
        <v>8.8000000000000096</v>
      </c>
      <c r="B170" s="48">
        <f>Main!$B$18</f>
        <v>1.171664943123061</v>
      </c>
      <c r="C170">
        <f>1/SQRT((1-Calculation!$B$21/Calculation!$B$19*((1/'Frequency Data'!$A170)^2-1))^2+(Calculation!$B$3*'Frequency Data'!$A170*Calculation!$B$21/Calculation!$B$11*(1-(1/'Frequency Data'!$A170)^2))^2)</f>
        <v>0.37334032968912922</v>
      </c>
      <c r="D170">
        <f>1/SQRT((1-Calculation!$D$21/Calculation!$D$19*((1/'Frequency Data'!$A170)^2-1))^2+(Calculation!$D$3*'Frequency Data'!$A170*Calculation!$D$21/Calculation!$D$11*(1-(1/'Frequency Data'!$A170)^2))^2)</f>
        <v>0.227240215754313</v>
      </c>
      <c r="E170" s="48">
        <f>Main!$B$19</f>
        <v>0.94069505396750086</v>
      </c>
      <c r="F170" s="48"/>
      <c r="G170" s="63">
        <f>IF(A170&lt;Main!$K$23,0,Main!$B$18)*IF(A170&lt;Main!$L$23,1,0)</f>
        <v>0</v>
      </c>
      <c r="H170" s="63">
        <f>IF(A170&lt;Main!$K$24,0,Main!$B$18)*IF(A170&lt;Main!$L$24,1,0)</f>
        <v>0</v>
      </c>
      <c r="J170">
        <f>IF(A170&gt;Main!$K$23,ABS(C170-$E170),10)</f>
        <v>0.56735472427837164</v>
      </c>
      <c r="L170">
        <f>IF(A170&gt;Main!$K$23,ABS(D170-E170),10)</f>
        <v>0.71345483821318789</v>
      </c>
      <c r="N170">
        <f>IF($A170&gt;Main!Q$28,ABS(O170-$E170),10)</f>
        <v>0.7327916727664161</v>
      </c>
      <c r="O170">
        <f>1/SQRT((1-Calculation!$D$21/Calculation!$D$19*((1/'Frequency Data'!$A170)^2-1))^2+(Calculation!$D$3*'Frequency Data'!$A170*Calculation!$D$21/Calculation!$G$11*(1-(1/'Frequency Data'!$A170)^2))^2)*IF(Main!$Q$23,1,0)</f>
        <v>0.20790338120108481</v>
      </c>
      <c r="P170">
        <f>IF(N170=10,0,$O$188)*IF(Main!$Q$23,1,0)*IF($A170&lt;Main!$S$28,1,0)</f>
        <v>0</v>
      </c>
      <c r="R170">
        <f>IF($A170&gt;Main!Q$29,ABS(S170-$E170),10)</f>
        <v>0.81183738546512418</v>
      </c>
      <c r="S170">
        <f>1/SQRT((1-Calculation!$D$21/Calculation!$D$19*((1/'Frequency Data'!$A170)^2-1))^2+(Calculation!$D$3*'Frequency Data'!$A170*Calculation!$D$21/Calculation!$H$11*(1-(1/'Frequency Data'!$A170)^2))^2)*IF(Main!$Q$24,1,0)</f>
        <v>0.12885766850237662</v>
      </c>
      <c r="T170">
        <f>IF(R170=10,0,$O$188)*IF(Main!$Q$23,1,0)*IF($A170&lt;Main!$S$29,1,0)</f>
        <v>0</v>
      </c>
    </row>
    <row r="171" spans="1:20" x14ac:dyDescent="0.3">
      <c r="A171">
        <v>8.9000000000000092</v>
      </c>
      <c r="B171" s="48">
        <f>Main!$B$18</f>
        <v>1.171664943123061</v>
      </c>
      <c r="C171">
        <f>1/SQRT((1-Calculation!$B$21/Calculation!$B$19*((1/'Frequency Data'!$A171)^2-1))^2+(Calculation!$B$3*'Frequency Data'!$A171*Calculation!$B$21/Calculation!$B$11*(1-(1/'Frequency Data'!$A171)^2))^2)</f>
        <v>0.36972883154827652</v>
      </c>
      <c r="D171">
        <f>1/SQRT((1-Calculation!$D$21/Calculation!$D$19*((1/'Frequency Data'!$A171)^2-1))^2+(Calculation!$D$3*'Frequency Data'!$A171*Calculation!$D$21/Calculation!$D$11*(1-(1/'Frequency Data'!$A171)^2))^2)</f>
        <v>0.22480869293235711</v>
      </c>
      <c r="E171" s="48">
        <f>Main!$B$19</f>
        <v>0.94069505396750086</v>
      </c>
      <c r="F171" s="48"/>
      <c r="G171" s="63">
        <f>IF(A171&lt;Main!$K$23,0,Main!$B$18)*IF(A171&lt;Main!$L$23,1,0)</f>
        <v>0</v>
      </c>
      <c r="H171" s="63">
        <f>IF(A171&lt;Main!$K$24,0,Main!$B$18)*IF(A171&lt;Main!$L$24,1,0)</f>
        <v>0</v>
      </c>
      <c r="J171">
        <f>IF(A171&gt;Main!$K$23,ABS(C171-$E171),10)</f>
        <v>0.57096622241922435</v>
      </c>
      <c r="L171">
        <f>IF(A171&gt;Main!$K$23,ABS(D171-E171),10)</f>
        <v>0.7158863610351438</v>
      </c>
      <c r="N171">
        <f>IF($A171&gt;Main!Q$28,ABS(O171-$E171),10)</f>
        <v>0.73504425435937293</v>
      </c>
      <c r="O171">
        <f>1/SQRT((1-Calculation!$D$21/Calculation!$D$19*((1/'Frequency Data'!$A171)^2-1))^2+(Calculation!$D$3*'Frequency Data'!$A171*Calculation!$D$21/Calculation!$G$11*(1-(1/'Frequency Data'!$A171)^2))^2)*IF(Main!$Q$23,1,0)</f>
        <v>0.20565079960812793</v>
      </c>
      <c r="P171">
        <f>IF(N171=10,0,$O$188)*IF(Main!$Q$23,1,0)*IF($A171&lt;Main!$S$28,1,0)</f>
        <v>0</v>
      </c>
      <c r="R171">
        <f>IF($A171&gt;Main!Q$29,ABS(S171-$E171),10)</f>
        <v>0.81328831793959266</v>
      </c>
      <c r="S171">
        <f>1/SQRT((1-Calculation!$D$21/Calculation!$D$19*((1/'Frequency Data'!$A171)^2-1))^2+(Calculation!$D$3*'Frequency Data'!$A171*Calculation!$D$21/Calculation!$H$11*(1-(1/'Frequency Data'!$A171)^2))^2)*IF(Main!$Q$24,1,0)</f>
        <v>0.12740673602790817</v>
      </c>
      <c r="T171">
        <f>IF(R171=10,0,$O$188)*IF(Main!$Q$23,1,0)*IF($A171&lt;Main!$S$29,1,0)</f>
        <v>0</v>
      </c>
    </row>
    <row r="172" spans="1:20" x14ac:dyDescent="0.3">
      <c r="A172">
        <v>9.0000000000000107</v>
      </c>
      <c r="B172" s="48">
        <f>Main!$B$18</f>
        <v>1.171664943123061</v>
      </c>
      <c r="C172">
        <f>1/SQRT((1-Calculation!$B$21/Calculation!$B$19*((1/'Frequency Data'!$A172)^2-1))^2+(Calculation!$B$3*'Frequency Data'!$A172*Calculation!$B$21/Calculation!$B$11*(1-(1/'Frequency Data'!$A172)^2))^2)</f>
        <v>0.36618110753890099</v>
      </c>
      <c r="D172">
        <f>1/SQRT((1-Calculation!$D$21/Calculation!$D$19*((1/'Frequency Data'!$A172)^2-1))^2+(Calculation!$D$3*'Frequency Data'!$A172*Calculation!$D$21/Calculation!$D$11*(1-(1/'Frequency Data'!$A172)^2))^2)</f>
        <v>0.22242741501489641</v>
      </c>
      <c r="E172" s="48">
        <f>Main!$B$19</f>
        <v>0.94069505396750086</v>
      </c>
      <c r="F172" s="48"/>
      <c r="G172" s="63">
        <f>IF(A172&lt;Main!$K$23,0,Main!$B$18)*IF(A172&lt;Main!$L$23,1,0)</f>
        <v>0</v>
      </c>
      <c r="H172" s="63">
        <f>IF(A172&lt;Main!$K$24,0,Main!$B$18)*IF(A172&lt;Main!$L$24,1,0)</f>
        <v>0</v>
      </c>
      <c r="J172">
        <f>IF(A172&gt;Main!$K$23,ABS(C172-$E172),10)</f>
        <v>0.57451394642859988</v>
      </c>
      <c r="L172">
        <f>IF(A172&gt;Main!$K$23,ABS(D172-E172),10)</f>
        <v>0.71826763895260448</v>
      </c>
      <c r="N172">
        <f>IF($A172&gt;Main!Q$28,ABS(O172-$E172),10)</f>
        <v>0.73724940819668905</v>
      </c>
      <c r="O172">
        <f>1/SQRT((1-Calculation!$D$21/Calculation!$D$19*((1/'Frequency Data'!$A172)^2-1))^2+(Calculation!$D$3*'Frequency Data'!$A172*Calculation!$D$21/Calculation!$G$11*(1-(1/'Frequency Data'!$A172)^2))^2)*IF(Main!$Q$23,1,0)</f>
        <v>0.20344564577081181</v>
      </c>
      <c r="P172">
        <f>IF(N172=10,0,$O$188)*IF(Main!$Q$23,1,0)*IF($A172&lt;Main!$S$28,1,0)</f>
        <v>0</v>
      </c>
      <c r="R172">
        <f>IF($A172&gt;Main!Q$29,ABS(S172-$E172),10)</f>
        <v>0.81470691001518014</v>
      </c>
      <c r="S172">
        <f>1/SQRT((1-Calculation!$D$21/Calculation!$D$19*((1/'Frequency Data'!$A172)^2-1))^2+(Calculation!$D$3*'Frequency Data'!$A172*Calculation!$D$21/Calculation!$H$11*(1-(1/'Frequency Data'!$A172)^2))^2)*IF(Main!$Q$24,1,0)</f>
        <v>0.12598814395232075</v>
      </c>
      <c r="T172">
        <f>IF(R172=10,0,$O$188)*IF(Main!$Q$23,1,0)*IF($A172&lt;Main!$S$29,1,0)</f>
        <v>0</v>
      </c>
    </row>
    <row r="173" spans="1:20" x14ac:dyDescent="0.3">
      <c r="A173">
        <v>9.1000000000000103</v>
      </c>
      <c r="B173" s="48">
        <f>Main!$B$18</f>
        <v>1.171664943123061</v>
      </c>
      <c r="C173">
        <f>1/SQRT((1-Calculation!$B$21/Calculation!$B$19*((1/'Frequency Data'!$A173)^2-1))^2+(Calculation!$B$3*'Frequency Data'!$A173*Calculation!$B$21/Calculation!$B$11*(1-(1/'Frequency Data'!$A173)^2))^2)</f>
        <v>0.36269564638752771</v>
      </c>
      <c r="D173">
        <f>1/SQRT((1-Calculation!$D$21/Calculation!$D$19*((1/'Frequency Data'!$A173)^2-1))^2+(Calculation!$D$3*'Frequency Data'!$A173*Calculation!$D$21/Calculation!$D$11*(1-(1/'Frequency Data'!$A173)^2))^2)</f>
        <v>0.22009487919119256</v>
      </c>
      <c r="E173" s="48">
        <f>Main!$B$19</f>
        <v>0.94069505396750086</v>
      </c>
      <c r="F173" s="48"/>
      <c r="G173" s="63">
        <f>IF(A173&lt;Main!$K$23,0,Main!$B$18)*IF(A173&lt;Main!$L$23,1,0)</f>
        <v>0</v>
      </c>
      <c r="H173" s="63">
        <f>IF(A173&lt;Main!$K$24,0,Main!$B$18)*IF(A173&lt;Main!$L$24,1,0)</f>
        <v>0</v>
      </c>
      <c r="J173">
        <f>IF(A173&gt;Main!$K$23,ABS(C173-$E173),10)</f>
        <v>0.57799940757997315</v>
      </c>
      <c r="L173">
        <f>IF(A173&gt;Main!$K$23,ABS(D173-E173),10)</f>
        <v>0.72060017477630833</v>
      </c>
      <c r="N173">
        <f>IF($A173&gt;Main!Q$28,ABS(O173-$E173),10)</f>
        <v>0.73940858949778865</v>
      </c>
      <c r="O173">
        <f>1/SQRT((1-Calculation!$D$21/Calculation!$D$19*((1/'Frequency Data'!$A173)^2-1))^2+(Calculation!$D$3*'Frequency Data'!$A173*Calculation!$D$21/Calculation!$G$11*(1-(1/'Frequency Data'!$A173)^2))^2)*IF(Main!$Q$23,1,0)</f>
        <v>0.20128646446971216</v>
      </c>
      <c r="P173">
        <f>IF(N173=10,0,$O$188)*IF(Main!$Q$23,1,0)*IF($A173&lt;Main!$S$28,1,0)</f>
        <v>0</v>
      </c>
      <c r="R173">
        <f>IF($A173&gt;Main!Q$29,ABS(S173-$E173),10)</f>
        <v>0.81609423186114194</v>
      </c>
      <c r="S173">
        <f>1/SQRT((1-Calculation!$D$21/Calculation!$D$19*((1/'Frequency Data'!$A173)^2-1))^2+(Calculation!$D$3*'Frequency Data'!$A173*Calculation!$D$21/Calculation!$H$11*(1-(1/'Frequency Data'!$A173)^2))^2)*IF(Main!$Q$24,1,0)</f>
        <v>0.12460082210635896</v>
      </c>
      <c r="T173">
        <f>IF(R173=10,0,$O$188)*IF(Main!$Q$23,1,0)*IF($A173&lt;Main!$S$29,1,0)</f>
        <v>0</v>
      </c>
    </row>
    <row r="174" spans="1:20" x14ac:dyDescent="0.3">
      <c r="A174">
        <v>9.2000000000000099</v>
      </c>
      <c r="B174" s="48">
        <f>Main!$B$18</f>
        <v>1.171664943123061</v>
      </c>
      <c r="C174">
        <f>1/SQRT((1-Calculation!$B$21/Calculation!$B$19*((1/'Frequency Data'!$A174)^2-1))^2+(Calculation!$B$3*'Frequency Data'!$A174*Calculation!$B$21/Calculation!$B$11*(1-(1/'Frequency Data'!$A174)^2))^2)</f>
        <v>0.35927097739110497</v>
      </c>
      <c r="D174">
        <f>1/SQRT((1-Calculation!$D$21/Calculation!$D$19*((1/'Frequency Data'!$A174)^2-1))^2+(Calculation!$D$3*'Frequency Data'!$A174*Calculation!$D$21/Calculation!$D$11*(1-(1/'Frequency Data'!$A174)^2))^2)</f>
        <v>0.21780964038472778</v>
      </c>
      <c r="E174" s="48">
        <f>Main!$B$19</f>
        <v>0.94069505396750086</v>
      </c>
      <c r="F174" s="48"/>
      <c r="G174" s="63">
        <f>IF(A174&lt;Main!$K$23,0,Main!$B$18)*IF(A174&lt;Main!$L$23,1,0)</f>
        <v>0</v>
      </c>
      <c r="H174" s="63">
        <f>IF(A174&lt;Main!$K$24,0,Main!$B$18)*IF(A174&lt;Main!$L$24,1,0)</f>
        <v>0</v>
      </c>
      <c r="J174">
        <f>IF(A174&gt;Main!$K$23,ABS(C174-$E174),10)</f>
        <v>0.58142407657639583</v>
      </c>
      <c r="L174">
        <f>IF(A174&gt;Main!$K$23,ABS(D174-E174),10)</f>
        <v>0.72288541358277314</v>
      </c>
      <c r="N174">
        <f>IF($A174&gt;Main!Q$28,ABS(O174-$E174),10)</f>
        <v>0.7415231956799252</v>
      </c>
      <c r="O174">
        <f>1/SQRT((1-Calculation!$D$21/Calculation!$D$19*((1/'Frequency Data'!$A174)^2-1))^2+(Calculation!$D$3*'Frequency Data'!$A174*Calculation!$D$21/Calculation!$G$11*(1-(1/'Frequency Data'!$A174)^2))^2)*IF(Main!$Q$23,1,0)</f>
        <v>0.19917185828757564</v>
      </c>
      <c r="P174">
        <f>IF(N174=10,0,$O$188)*IF(Main!$Q$23,1,0)*IF($A174&lt;Main!$S$28,1,0)</f>
        <v>0</v>
      </c>
      <c r="R174">
        <f>IF($A174&gt;Main!Q$29,ABS(S174-$E174),10)</f>
        <v>0.81745130691706402</v>
      </c>
      <c r="S174">
        <f>1/SQRT((1-Calculation!$D$21/Calculation!$D$19*((1/'Frequency Data'!$A174)^2-1))^2+(Calculation!$D$3*'Frequency Data'!$A174*Calculation!$D$21/Calculation!$H$11*(1-(1/'Frequency Data'!$A174)^2))^2)*IF(Main!$Q$24,1,0)</f>
        <v>0.12324374705043682</v>
      </c>
      <c r="T174">
        <f>IF(R174=10,0,$O$188)*IF(Main!$Q$23,1,0)*IF($A174&lt;Main!$S$29,1,0)</f>
        <v>0</v>
      </c>
    </row>
    <row r="175" spans="1:20" x14ac:dyDescent="0.3">
      <c r="A175">
        <v>9.3000000000000096</v>
      </c>
      <c r="B175" s="48">
        <f>Main!$B$18</f>
        <v>1.171664943123061</v>
      </c>
      <c r="C175">
        <f>1/SQRT((1-Calculation!$B$21/Calculation!$B$19*((1/'Frequency Data'!$A175)^2-1))^2+(Calculation!$B$3*'Frequency Data'!$A175*Calculation!$B$21/Calculation!$B$11*(1-(1/'Frequency Data'!$A175)^2))^2)</f>
        <v>0.35590566944334096</v>
      </c>
      <c r="D175">
        <f>1/SQRT((1-Calculation!$D$21/Calculation!$D$19*((1/'Frequency Data'!$A175)^2-1))^2+(Calculation!$D$3*'Frequency Data'!$A175*Calculation!$D$21/Calculation!$D$11*(1-(1/'Frequency Data'!$A175)^2))^2)</f>
        <v>0.21557030859051518</v>
      </c>
      <c r="E175" s="48">
        <f>Main!$B$19</f>
        <v>0.94069505396750086</v>
      </c>
      <c r="F175" s="48"/>
      <c r="G175" s="63">
        <f>IF(A175&lt;Main!$K$23,0,Main!$B$18)*IF(A175&lt;Main!$L$23,1,0)</f>
        <v>0</v>
      </c>
      <c r="H175" s="63">
        <f>IF(A175&lt;Main!$K$24,0,Main!$B$18)*IF(A175&lt;Main!$L$24,1,0)</f>
        <v>0</v>
      </c>
      <c r="J175">
        <f>IF(A175&gt;Main!$K$23,ABS(C175-$E175),10)</f>
        <v>0.58478938452415985</v>
      </c>
      <c r="L175">
        <f>IF(A175&gt;Main!$K$23,ABS(D175-E175),10)</f>
        <v>0.72512474537698568</v>
      </c>
      <c r="N175">
        <f>IF($A175&gt;Main!Q$28,ABS(O175-$E175),10)</f>
        <v>0.7435945691411725</v>
      </c>
      <c r="O175">
        <f>1/SQRT((1-Calculation!$D$21/Calculation!$D$19*((1/'Frequency Data'!$A175)^2-1))^2+(Calculation!$D$3*'Frequency Data'!$A175*Calculation!$D$21/Calculation!$G$11*(1-(1/'Frequency Data'!$A175)^2))^2)*IF(Main!$Q$23,1,0)</f>
        <v>0.19710048482632833</v>
      </c>
      <c r="P175">
        <f>IF(N175=10,0,$O$188)*IF(Main!$Q$23,1,0)*IF($A175&lt;Main!$S$28,1,0)</f>
        <v>0</v>
      </c>
      <c r="R175">
        <f>IF($A175&gt;Main!Q$29,ABS(S175-$E175),10)</f>
        <v>0.81877911441695916</v>
      </c>
      <c r="S175">
        <f>1/SQRT((1-Calculation!$D$21/Calculation!$D$19*((1/'Frequency Data'!$A175)^2-1))^2+(Calculation!$D$3*'Frequency Data'!$A175*Calculation!$D$21/Calculation!$H$11*(1-(1/'Frequency Data'!$A175)^2))^2)*IF(Main!$Q$24,1,0)</f>
        <v>0.12191593955054168</v>
      </c>
      <c r="T175">
        <f>IF(R175=10,0,$O$188)*IF(Main!$Q$23,1,0)*IF($A175&lt;Main!$S$29,1,0)</f>
        <v>0</v>
      </c>
    </row>
    <row r="176" spans="1:20" x14ac:dyDescent="0.3">
      <c r="A176">
        <v>9.4000000000000092</v>
      </c>
      <c r="B176" s="48">
        <f>Main!$B$18</f>
        <v>1.171664943123061</v>
      </c>
      <c r="C176">
        <f>1/SQRT((1-Calculation!$B$21/Calculation!$B$19*((1/'Frequency Data'!$A176)^2-1))^2+(Calculation!$B$3*'Frequency Data'!$A176*Calculation!$B$21/Calculation!$B$11*(1-(1/'Frequency Data'!$A176)^2))^2)</f>
        <v>0.3525983300603161</v>
      </c>
      <c r="D176">
        <f>1/SQRT((1-Calculation!$D$21/Calculation!$D$19*((1/'Frequency Data'!$A176)^2-1))^2+(Calculation!$D$3*'Frequency Data'!$A176*Calculation!$D$21/Calculation!$D$11*(1-(1/'Frequency Data'!$A176)^2))^2)</f>
        <v>0.21337554635320566</v>
      </c>
      <c r="E176" s="48">
        <f>Main!$B$19</f>
        <v>0.94069505396750086</v>
      </c>
      <c r="F176" s="48"/>
      <c r="G176" s="63">
        <f>IF(A176&lt;Main!$K$23,0,Main!$B$18)*IF(A176&lt;Main!$L$23,1,0)</f>
        <v>0</v>
      </c>
      <c r="H176" s="63">
        <f>IF(A176&lt;Main!$K$24,0,Main!$B$18)*IF(A176&lt;Main!$L$24,1,0)</f>
        <v>0</v>
      </c>
      <c r="J176">
        <f>IF(A176&gt;Main!$K$23,ABS(C176-$E176),10)</f>
        <v>0.58809672390718482</v>
      </c>
      <c r="L176">
        <f>IF(A176&gt;Main!$K$23,ABS(D176-E176),10)</f>
        <v>0.7273195076142952</v>
      </c>
      <c r="N176">
        <f>IF($A176&gt;Main!Q$28,ABS(O176-$E176),10)</f>
        <v>0.7456239998878178</v>
      </c>
      <c r="O176">
        <f>1/SQRT((1-Calculation!$D$21/Calculation!$D$19*((1/'Frequency Data'!$A176)^2-1))^2+(Calculation!$D$3*'Frequency Data'!$A176*Calculation!$D$21/Calculation!$G$11*(1-(1/'Frequency Data'!$A176)^2))^2)*IF(Main!$Q$23,1,0)</f>
        <v>0.19507105407968311</v>
      </c>
      <c r="P176">
        <f>IF(N176=10,0,$O$188)*IF(Main!$Q$23,1,0)*IF($A176&lt;Main!$S$28,1,0)</f>
        <v>0</v>
      </c>
      <c r="R176">
        <f>IF($A176&gt;Main!Q$29,ABS(S176-$E176),10)</f>
        <v>0.82007859175147113</v>
      </c>
      <c r="S176">
        <f>1/SQRT((1-Calculation!$D$21/Calculation!$D$19*((1/'Frequency Data'!$A176)^2-1))^2+(Calculation!$D$3*'Frequency Data'!$A176*Calculation!$D$21/Calculation!$H$11*(1-(1/'Frequency Data'!$A176)^2))^2)*IF(Main!$Q$24,1,0)</f>
        <v>0.12061646221602976</v>
      </c>
      <c r="T176">
        <f>IF(R176=10,0,$O$188)*IF(Main!$Q$23,1,0)*IF($A176&lt;Main!$S$29,1,0)</f>
        <v>0</v>
      </c>
    </row>
    <row r="177" spans="1:22" x14ac:dyDescent="0.3">
      <c r="A177">
        <v>9.5000000000000107</v>
      </c>
      <c r="B177" s="48">
        <f>Main!$B$18</f>
        <v>1.171664943123061</v>
      </c>
      <c r="C177">
        <f>1/SQRT((1-Calculation!$B$21/Calculation!$B$19*((1/'Frequency Data'!$A177)^2-1))^2+(Calculation!$B$3*'Frequency Data'!$A177*Calculation!$B$21/Calculation!$B$11*(1-(1/'Frequency Data'!$A177)^2))^2)</f>
        <v>0.34934760440881163</v>
      </c>
      <c r="D177">
        <f>1/SQRT((1-Calculation!$D$21/Calculation!$D$19*((1/'Frequency Data'!$A177)^2-1))^2+(Calculation!$D$3*'Frequency Data'!$A177*Calculation!$D$21/Calculation!$D$11*(1-(1/'Frequency Data'!$A177)^2))^2)</f>
        <v>0.21122406637776714</v>
      </c>
      <c r="E177" s="48">
        <f>Main!$B$19</f>
        <v>0.94069505396750086</v>
      </c>
      <c r="F177" s="48"/>
      <c r="G177" s="63">
        <f>IF(A177&lt;Main!$K$23,0,Main!$B$18)*IF(A177&lt;Main!$L$23,1,0)</f>
        <v>0</v>
      </c>
      <c r="H177" s="63">
        <f>IF(A177&lt;Main!$K$24,0,Main!$B$18)*IF(A177&lt;Main!$L$24,1,0)</f>
        <v>0</v>
      </c>
      <c r="J177">
        <f>IF(A177&gt;Main!$K$23,ABS(C177-$E177),10)</f>
        <v>0.59134744955868923</v>
      </c>
      <c r="L177">
        <f>IF(A177&gt;Main!$K$23,ABS(D177-E177),10)</f>
        <v>0.72947098758973372</v>
      </c>
      <c r="N177">
        <f>IF($A177&gt;Main!Q$28,ABS(O177-$E177),10)</f>
        <v>0.74761272801594369</v>
      </c>
      <c r="O177">
        <f>1/SQRT((1-Calculation!$D$21/Calculation!$D$19*((1/'Frequency Data'!$A177)^2-1))^2+(Calculation!$D$3*'Frequency Data'!$A177*Calculation!$D$21/Calculation!$G$11*(1-(1/'Frequency Data'!$A177)^2))^2)*IF(Main!$Q$23,1,0)</f>
        <v>0.19308232595155711</v>
      </c>
      <c r="P177">
        <f>IF(N177=10,0,$O$188)*IF(Main!$Q$23,1,0)*IF($A177&lt;Main!$S$28,1,0)</f>
        <v>0</v>
      </c>
      <c r="R177">
        <f>IF($A177&gt;Main!Q$29,ABS(S177-$E177),10)</f>
        <v>0.82135063668017283</v>
      </c>
      <c r="S177">
        <f>1/SQRT((1-Calculation!$D$21/Calculation!$D$19*((1/'Frequency Data'!$A177)^2-1))^2+(Calculation!$D$3*'Frequency Data'!$A177*Calculation!$D$21/Calculation!$H$11*(1-(1/'Frequency Data'!$A177)^2))^2)*IF(Main!$Q$24,1,0)</f>
        <v>0.11934441728732803</v>
      </c>
      <c r="T177">
        <f>IF(R177=10,0,$O$188)*IF(Main!$Q$23,1,0)*IF($A177&lt;Main!$S$29,1,0)</f>
        <v>0</v>
      </c>
    </row>
    <row r="178" spans="1:22" x14ac:dyDescent="0.3">
      <c r="A178">
        <v>9.6000000000000103</v>
      </c>
      <c r="B178" s="48">
        <f>Main!$B$18</f>
        <v>1.171664943123061</v>
      </c>
      <c r="C178">
        <f>1/SQRT((1-Calculation!$B$21/Calculation!$B$19*((1/'Frequency Data'!$A178)^2-1))^2+(Calculation!$B$3*'Frequency Data'!$A178*Calculation!$B$21/Calculation!$B$11*(1-(1/'Frequency Data'!$A178)^2))^2)</f>
        <v>0.3461521743403303</v>
      </c>
      <c r="D178">
        <f>1/SQRT((1-Calculation!$D$21/Calculation!$D$19*((1/'Frequency Data'!$A178)^2-1))^2+(Calculation!$D$3*'Frequency Data'!$A178*Calculation!$D$21/Calculation!$D$11*(1-(1/'Frequency Data'!$A178)^2))^2)</f>
        <v>0.20911462926501895</v>
      </c>
      <c r="E178" s="48">
        <f>Main!$B$19</f>
        <v>0.94069505396750086</v>
      </c>
      <c r="F178" s="48"/>
      <c r="G178" s="63">
        <f>IF(A178&lt;Main!$K$23,0,Main!$B$18)*IF(A178&lt;Main!$L$23,1,0)</f>
        <v>0</v>
      </c>
      <c r="H178" s="63">
        <f>IF(A178&lt;Main!$K$24,0,Main!$B$18)*IF(A178&lt;Main!$L$24,1,0)</f>
        <v>0</v>
      </c>
      <c r="J178">
        <f>IF(A178&gt;Main!$K$23,ABS(C178-$E178),10)</f>
        <v>0.59454287962717056</v>
      </c>
      <c r="L178">
        <f>IF(A178&gt;Main!$K$23,ABS(D178-E178),10)</f>
        <v>0.73158042470248197</v>
      </c>
      <c r="N178">
        <f>IF($A178&gt;Main!Q$28,ABS(O178-$E178),10)</f>
        <v>0.74956194605631676</v>
      </c>
      <c r="O178">
        <f>1/SQRT((1-Calculation!$D$21/Calculation!$D$19*((1/'Frequency Data'!$A178)^2-1))^2+(Calculation!$D$3*'Frequency Data'!$A178*Calculation!$D$21/Calculation!$G$11*(1-(1/'Frequency Data'!$A178)^2))^2)*IF(Main!$Q$23,1,0)</f>
        <v>0.19113310791118412</v>
      </c>
      <c r="P178">
        <f>IF(N178=10,0,$O$188)*IF(Main!$Q$23,1,0)*IF($A178&lt;Main!$S$28,1,0)</f>
        <v>0</v>
      </c>
      <c r="R178">
        <f>IF($A178&gt;Main!Q$29,ABS(S178-$E178),10)</f>
        <v>0.82259610940494188</v>
      </c>
      <c r="S178">
        <f>1/SQRT((1-Calculation!$D$21/Calculation!$D$19*((1/'Frequency Data'!$A178)^2-1))^2+(Calculation!$D$3*'Frequency Data'!$A178*Calculation!$D$21/Calculation!$H$11*(1-(1/'Frequency Data'!$A178)^2))^2)*IF(Main!$Q$24,1,0)</f>
        <v>0.11809894456255894</v>
      </c>
      <c r="T178">
        <f>IF(R178=10,0,$O$188)*IF(Main!$Q$23,1,0)*IF($A178&lt;Main!$S$29,1,0)</f>
        <v>0</v>
      </c>
    </row>
    <row r="179" spans="1:22" x14ac:dyDescent="0.3">
      <c r="A179">
        <v>9.7000000000000099</v>
      </c>
      <c r="B179" s="48">
        <f>Main!$B$18</f>
        <v>1.171664943123061</v>
      </c>
      <c r="C179">
        <f>1/SQRT((1-Calculation!$B$21/Calculation!$B$19*((1/'Frequency Data'!$A179)^2-1))^2+(Calculation!$B$3*'Frequency Data'!$A179*Calculation!$B$21/Calculation!$B$11*(1-(1/'Frequency Data'!$A179)^2))^2)</f>
        <v>0.34301075743337717</v>
      </c>
      <c r="D179">
        <f>1/SQRT((1-Calculation!$D$21/Calculation!$D$19*((1/'Frequency Data'!$A179)^2-1))^2+(Calculation!$D$3*'Frequency Data'!$A179*Calculation!$D$21/Calculation!$D$11*(1-(1/'Frequency Data'!$A179)^2))^2)</f>
        <v>0.20704604136478827</v>
      </c>
      <c r="E179" s="48">
        <f>Main!$B$19</f>
        <v>0.94069505396750086</v>
      </c>
      <c r="F179" s="48"/>
      <c r="G179" s="63">
        <f>IF(A179&lt;Main!$K$23,0,Main!$B$18)*IF(A179&lt;Main!$L$23,1,0)</f>
        <v>0</v>
      </c>
      <c r="H179" s="63">
        <f>IF(A179&lt;Main!$K$24,0,Main!$B$18)*IF(A179&lt;Main!$L$24,1,0)</f>
        <v>0</v>
      </c>
      <c r="J179">
        <f>IF(A179&gt;Main!$K$23,ABS(C179-$E179),10)</f>
        <v>0.59768429653412369</v>
      </c>
      <c r="L179">
        <f>IF(A179&gt;Main!$K$23,ABS(D179-E179),10)</f>
        <v>0.73364901260271265</v>
      </c>
      <c r="N179">
        <f>IF($A179&gt;Main!Q$28,ABS(O179-$E179),10)</f>
        <v>0.75147280119106874</v>
      </c>
      <c r="O179">
        <f>1/SQRT((1-Calculation!$D$21/Calculation!$D$19*((1/'Frequency Data'!$A179)^2-1))^2+(Calculation!$D$3*'Frequency Data'!$A179*Calculation!$D$21/Calculation!$G$11*(1-(1/'Frequency Data'!$A179)^2))^2)*IF(Main!$Q$23,1,0)</f>
        <v>0.18922225277643215</v>
      </c>
      <c r="P179">
        <f>IF(N179=10,0,$O$188)*IF(Main!$Q$23,1,0)*IF($A179&lt;Main!$S$28,1,0)</f>
        <v>0</v>
      </c>
      <c r="R179">
        <f>IF($A179&gt;Main!Q$29,ABS(S179-$E179),10)</f>
        <v>0.82381583451448526</v>
      </c>
      <c r="S179">
        <f>1/SQRT((1-Calculation!$D$21/Calculation!$D$19*((1/'Frequency Data'!$A179)^2-1))^2+(Calculation!$D$3*'Frequency Data'!$A179*Calculation!$D$21/Calculation!$H$11*(1-(1/'Frequency Data'!$A179)^2))^2)*IF(Main!$Q$24,1,0)</f>
        <v>0.11687921945301563</v>
      </c>
      <c r="T179">
        <f>IF(R179=10,0,$O$188)*IF(Main!$Q$23,1,0)*IF($A179&lt;Main!$S$29,1,0)</f>
        <v>0</v>
      </c>
    </row>
    <row r="180" spans="1:22" x14ac:dyDescent="0.3">
      <c r="A180">
        <v>9.8000000000000096</v>
      </c>
      <c r="B180" s="48">
        <f>Main!$B$18</f>
        <v>1.171664943123061</v>
      </c>
      <c r="C180">
        <f>1/SQRT((1-Calculation!$B$21/Calculation!$B$19*((1/'Frequency Data'!$A180)^2-1))^2+(Calculation!$B$3*'Frequency Data'!$A180*Calculation!$B$21/Calculation!$B$11*(1-(1/'Frequency Data'!$A180)^2))^2)</f>
        <v>0.33992210604620005</v>
      </c>
      <c r="D180">
        <f>1/SQRT((1-Calculation!$D$21/Calculation!$D$19*((1/'Frequency Data'!$A180)^2-1))^2+(Calculation!$D$3*'Frequency Data'!$A180*Calculation!$D$21/Calculation!$D$11*(1-(1/'Frequency Data'!$A180)^2))^2)</f>
        <v>0.20501715273990359</v>
      </c>
      <c r="E180" s="48">
        <f>Main!$B$19</f>
        <v>0.94069505396750086</v>
      </c>
      <c r="F180" s="48"/>
      <c r="G180" s="63">
        <f>IF(A180&lt;Main!$K$23,0,Main!$B$18)*IF(A180&lt;Main!$L$23,1,0)</f>
        <v>0</v>
      </c>
      <c r="H180" s="63">
        <f>IF(A180&lt;Main!$K$24,0,Main!$B$18)*IF(A180&lt;Main!$L$24,1,0)</f>
        <v>0</v>
      </c>
      <c r="J180">
        <f>IF(A180&gt;Main!$K$23,ABS(C180-$E180),10)</f>
        <v>0.60077294792130087</v>
      </c>
      <c r="L180">
        <f>IF(A180&gt;Main!$K$23,ABS(D180-E180),10)</f>
        <v>0.73567790122759724</v>
      </c>
      <c r="N180">
        <f>IF($A180&gt;Main!Q$28,ABS(O180-$E180),10)</f>
        <v>0.75334639735008224</v>
      </c>
      <c r="O180">
        <f>1/SQRT((1-Calculation!$D$21/Calculation!$D$19*((1/'Frequency Data'!$A180)^2-1))^2+(Calculation!$D$3*'Frequency Data'!$A180*Calculation!$D$21/Calculation!$G$11*(1-(1/'Frequency Data'!$A180)^2))^2)*IF(Main!$Q$23,1,0)</f>
        <v>0.18734865661741856</v>
      </c>
      <c r="P180">
        <f>IF(N180=10,0,$O$188)*IF(Main!$Q$23,1,0)*IF($A180&lt;Main!$S$28,1,0)</f>
        <v>0</v>
      </c>
      <c r="R180">
        <f>IF($A180&gt;Main!Q$29,ABS(S180-$E180),10)</f>
        <v>0.8250106028092592</v>
      </c>
      <c r="S180">
        <f>1/SQRT((1-Calculation!$D$21/Calculation!$D$19*((1/'Frequency Data'!$A180)^2-1))^2+(Calculation!$D$3*'Frequency Data'!$A180*Calculation!$D$21/Calculation!$H$11*(1-(1/'Frequency Data'!$A180)^2))^2)*IF(Main!$Q$24,1,0)</f>
        <v>0.11568445115824168</v>
      </c>
      <c r="T180">
        <f>IF(R180=10,0,$O$188)*IF(Main!$Q$23,1,0)*IF($A180&lt;Main!$S$29,1,0)</f>
        <v>0</v>
      </c>
    </row>
    <row r="181" spans="1:22" x14ac:dyDescent="0.3">
      <c r="A181">
        <v>9.9000000000000092</v>
      </c>
      <c r="B181" s="48">
        <f>Main!$B$18</f>
        <v>1.171664943123061</v>
      </c>
      <c r="C181">
        <f>1/SQRT((1-Calculation!$B$21/Calculation!$B$19*((1/'Frequency Data'!$A181)^2-1))^2+(Calculation!$B$3*'Frequency Data'!$A181*Calculation!$B$21/Calculation!$B$11*(1-(1/'Frequency Data'!$A181)^2))^2)</f>
        <v>0.33688500638186208</v>
      </c>
      <c r="D181">
        <f>1/SQRT((1-Calculation!$D$21/Calculation!$D$19*((1/'Frequency Data'!$A181)^2-1))^2+(Calculation!$D$3*'Frequency Data'!$A181*Calculation!$D$21/Calculation!$D$11*(1-(1/'Frequency Data'!$A181)^2))^2)</f>
        <v>0.20302685523465872</v>
      </c>
      <c r="E181" s="48">
        <f>Main!$B$19</f>
        <v>0.94069505396750086</v>
      </c>
      <c r="F181" s="48"/>
      <c r="G181" s="63">
        <f>IF(A181&lt;Main!$K$23,0,Main!$B$18)*IF(A181&lt;Main!$L$23,1,0)</f>
        <v>0</v>
      </c>
      <c r="H181" s="63">
        <f>IF(A181&lt;Main!$K$24,0,Main!$B$18)*IF(A181&lt;Main!$L$24,1,0)</f>
        <v>0</v>
      </c>
      <c r="J181">
        <f>IF(A181&gt;Main!$K$23,ABS(C181-$E181),10)</f>
        <v>0.60381004758563872</v>
      </c>
      <c r="L181">
        <f>IF(A181&gt;Main!$K$23,ABS(D181-E181),10)</f>
        <v>0.73766819873284217</v>
      </c>
      <c r="N181">
        <f>IF($A181&gt;Main!Q$28,ABS(O181-$E181),10)</f>
        <v>0.75518379719445161</v>
      </c>
      <c r="O181">
        <f>1/SQRT((1-Calculation!$D$21/Calculation!$D$19*((1/'Frequency Data'!$A181)^2-1))^2+(Calculation!$D$3*'Frequency Data'!$A181*Calculation!$D$21/Calculation!$G$11*(1-(1/'Frequency Data'!$A181)^2))^2)*IF(Main!$Q$23,1,0)</f>
        <v>0.18551125677304928</v>
      </c>
      <c r="P181">
        <f>IF(N181=10,0,$O$188)*IF(Main!$Q$23,1,0)*IF($A181&lt;Main!$S$28,1,0)</f>
        <v>0</v>
      </c>
      <c r="R181">
        <f>IF($A181&gt;Main!Q$29,ABS(S181-$E181),10)</f>
        <v>0.82618117301528338</v>
      </c>
      <c r="S181">
        <f>1/SQRT((1-Calculation!$D$21/Calculation!$D$19*((1/'Frequency Data'!$A181)^2-1))^2+(Calculation!$D$3*'Frequency Data'!$A181*Calculation!$D$21/Calculation!$H$11*(1-(1/'Frequency Data'!$A181)^2))^2)*IF(Main!$Q$24,1,0)</f>
        <v>0.11451388095221744</v>
      </c>
      <c r="T181">
        <f>IF(R181=10,0,$O$188)*IF(Main!$Q$23,1,0)*IF($A181&lt;Main!$S$29,1,0)</f>
        <v>0</v>
      </c>
    </row>
    <row r="182" spans="1:22" x14ac:dyDescent="0.3">
      <c r="A182">
        <v>10</v>
      </c>
      <c r="B182" s="48">
        <f>Main!$B$18</f>
        <v>1.171664943123061</v>
      </c>
      <c r="C182">
        <f>1/SQRT((1-Calculation!$B$21/Calculation!$B$19*((1/'Frequency Data'!$A182)^2-1))^2+(Calculation!$B$3*'Frequency Data'!$A182*Calculation!$B$21/Calculation!$B$11*(1-(1/'Frequency Data'!$A182)^2))^2)</f>
        <v>0.33389827756722956</v>
      </c>
      <c r="D182">
        <f>1/SQRT((1-Calculation!$D$21/Calculation!$D$19*((1/'Frequency Data'!$A182)^2-1))^2+(Calculation!$D$3*'Frequency Data'!$A182*Calculation!$D$21/Calculation!$D$11*(1-(1/'Frequency Data'!$A182)^2))^2)</f>
        <v>0.20107408064177837</v>
      </c>
      <c r="E182" s="48">
        <f>Main!$B$19</f>
        <v>0.94069505396750086</v>
      </c>
      <c r="F182" s="48"/>
      <c r="G182" s="63">
        <f>IF(A182&lt;Main!$K$23,0,Main!$B$18)*IF(A182&lt;Main!$L$23,1,0)</f>
        <v>0</v>
      </c>
      <c r="H182" s="63">
        <f>IF(A182&lt;Main!$K$24,0,Main!$B$18)*IF(A182&lt;Main!$L$24,1,0)</f>
        <v>0</v>
      </c>
      <c r="J182">
        <f>IF(A182&gt;Main!$K$23,ABS(C182-$E182),10)</f>
        <v>0.6067967764002713</v>
      </c>
      <c r="L182">
        <f>IF(A182&gt;Main!$K$23,ABS(D182-E182),10)</f>
        <v>0.73962097332572252</v>
      </c>
      <c r="N182">
        <f>IF($A182&gt;Main!Q$28,ABS(O182-$E182),10)</f>
        <v>0.75698602399389248</v>
      </c>
      <c r="O182">
        <f>1/SQRT((1-Calculation!$D$21/Calculation!$D$19*((1/'Frequency Data'!$A182)^2-1))^2+(Calculation!$D$3*'Frequency Data'!$A182*Calculation!$D$21/Calculation!$G$11*(1-(1/'Frequency Data'!$A182)^2))^2)*IF(Main!$Q$23,1,0)</f>
        <v>0.18370902997360838</v>
      </c>
      <c r="P182">
        <f>IF(N182=10,0,$O$188)*IF(Main!$Q$23,1,0)*IF($A182&lt;Main!$S$28,1,0)</f>
        <v>0</v>
      </c>
      <c r="R182">
        <f>IF($A182&gt;Main!Q$29,ABS(S182-$E182),10)</f>
        <v>0.82732827339465909</v>
      </c>
      <c r="S182">
        <f>1/SQRT((1-Calculation!$D$21/Calculation!$D$19*((1/'Frequency Data'!$A182)^2-1))^2+(Calculation!$D$3*'Frequency Data'!$A182*Calculation!$D$21/Calculation!$H$11*(1-(1/'Frequency Data'!$A182)^2))^2)*IF(Main!$Q$24,1,0)</f>
        <v>0.11336678057284173</v>
      </c>
      <c r="T182">
        <f>IF(R182=10,0,$O$188)*IF(Main!$Q$23,1,0)*IF($A182&lt;Main!$S$29,1,0)</f>
        <v>0</v>
      </c>
    </row>
    <row r="184" spans="1:22" x14ac:dyDescent="0.3">
      <c r="A184">
        <v>0.5</v>
      </c>
      <c r="C184">
        <v>2.25</v>
      </c>
      <c r="D184">
        <v>2.25</v>
      </c>
      <c r="J184">
        <f>MIN(J2:J183)</f>
        <v>3.8358151448687483E-3</v>
      </c>
      <c r="L184">
        <f>MIN(L2:L183)</f>
        <v>9.1852252199704498E-3</v>
      </c>
      <c r="N184">
        <f>MIN(N2:N183)</f>
        <v>1.1888126684183375E-2</v>
      </c>
      <c r="O184">
        <v>2.25</v>
      </c>
      <c r="R184">
        <f>MIN(R2:R183)</f>
        <v>1.4508284706430841E-2</v>
      </c>
      <c r="S184">
        <v>2.25</v>
      </c>
    </row>
    <row r="185" spans="1:22" x14ac:dyDescent="0.3">
      <c r="J185">
        <f>MATCH(J184,J2:J182,0)</f>
        <v>95</v>
      </c>
      <c r="L185">
        <f>MATCH(L184,L2:L182,0)</f>
        <v>93</v>
      </c>
      <c r="N185">
        <f>MATCH(N184,N2:N182,0)</f>
        <v>93</v>
      </c>
      <c r="R185">
        <f>MATCH(R184,R2:R182,0)</f>
        <v>92</v>
      </c>
    </row>
    <row r="186" spans="1:22" x14ac:dyDescent="0.3">
      <c r="J186" s="48">
        <f>INDEX(A2:A182,J185)</f>
        <v>1.4</v>
      </c>
      <c r="L186" s="48">
        <f>INDEX(A2:A182,L185)</f>
        <v>1.2</v>
      </c>
      <c r="N186" s="48">
        <f>INDEX(A2:A182,N185)</f>
        <v>1.2</v>
      </c>
      <c r="R186" s="48">
        <f>INDEX(A2:A182,R185)</f>
        <v>1.1000000000000001</v>
      </c>
      <c r="V186" s="48"/>
    </row>
    <row r="188" spans="1:22" x14ac:dyDescent="0.3">
      <c r="A188">
        <f>Calculation!$G$33</f>
        <v>0.68944915940816098</v>
      </c>
      <c r="N188" s="48"/>
      <c r="O188">
        <f>1/SQRT((1-Calculation!$D$21/Calculation!$D$19*((1/'Frequency Data'!$A188)^2-1))^2+(Calculation!$D$3*'Frequency Data'!$A188*Calculation!$D$21/Calculation!$G$11*(1-(1/'Frequency Data'!$A188)^2))^2)</f>
        <v>1.1260880286363109</v>
      </c>
      <c r="R188" s="48"/>
      <c r="V188" s="48"/>
    </row>
    <row r="189" spans="1:22" x14ac:dyDescent="0.3">
      <c r="A189" s="48">
        <f>Calculation!$H$33</f>
        <v>0.87661572632837581</v>
      </c>
      <c r="S189">
        <f>1/SQRT((1-Calculation!$D$21/Calculation!$D$19*((1/'Frequency Data'!$A189)^2-1))^2+(Calculation!$D$3*'Frequency Data'!$A189*Calculation!$D$21/Calculation!$H$11*(1-(1/'Frequency Data'!$A189)^2))^2)</f>
        <v>1.0301673701321339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>
      <selection activeCell="I28" sqref="I28"/>
    </sheetView>
  </sheetViews>
  <sheetFormatPr defaultColWidth="8.88671875"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2"/>
  <sheetViews>
    <sheetView workbookViewId="0">
      <selection activeCell="B4" sqref="B4"/>
    </sheetView>
  </sheetViews>
  <sheetFormatPr defaultColWidth="8.88671875" defaultRowHeight="14.4" x14ac:dyDescent="0.3"/>
  <cols>
    <col min="1" max="1" width="38.44140625" customWidth="1"/>
  </cols>
  <sheetData>
    <row r="2" spans="1:1" x14ac:dyDescent="0.2">
      <c r="A2" s="21" t="s">
        <v>18</v>
      </c>
    </row>
  </sheetData>
  <hyperlinks>
    <hyperlink ref="A2" r:id="rId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M29" sqref="M29"/>
    </sheetView>
  </sheetViews>
  <sheetFormatPr defaultColWidth="8.88671875" defaultRowHeight="14.4" x14ac:dyDescent="0.3"/>
  <sheetData/>
  <sheetProtection password="B695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Calculation</vt:lpstr>
      <vt:lpstr>Frequency Data</vt:lpstr>
      <vt:lpstr>Terms</vt:lpstr>
      <vt:lpstr>Help</vt:lpstr>
      <vt:lpstr>versions</vt:lpstr>
    </vt:vector>
  </TitlesOfParts>
  <Company>Infineon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Ivankovic Mladen (IFNA IMM SMD PMD)</dc:creator>
  <cp:lastModifiedBy>Ivankovic Mladen (IFAM PMM SMD AMR SP)</cp:lastModifiedBy>
  <dcterms:created xsi:type="dcterms:W3CDTF">2013-11-04T20:33:22Z</dcterms:created>
  <dcterms:modified xsi:type="dcterms:W3CDTF">2019-06-25T14:55:07Z</dcterms:modified>
</cp:coreProperties>
</file>