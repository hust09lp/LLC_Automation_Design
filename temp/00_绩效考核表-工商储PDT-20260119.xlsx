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30" firstSheet="2" activeTab="2"/>
  </bookViews>
  <sheets>
    <sheet name="指标分类说明及指标制定原则" sheetId="3" state="hidden" r:id="rId1"/>
    <sheet name="评分规则（建议）" sheetId="2" state="hidden" r:id="rId2"/>
    <sheet name="刘朋" sheetId="40" r:id="rId3"/>
    <sheet name="马国平" sheetId="8" r:id="rId4"/>
    <sheet name="陈涣坚" sheetId="9" r:id="rId5"/>
    <sheet name="刘涵" sheetId="10" r:id="rId6"/>
    <sheet name="董祖皇" sheetId="11" r:id="rId7"/>
    <sheet name="薛桐" sheetId="12" r:id="rId8"/>
    <sheet name="陈龙利" sheetId="14" r:id="rId9"/>
    <sheet name="杨廷彦" sheetId="23" r:id="rId10"/>
    <sheet name="刘卓然" sheetId="24" r:id="rId11"/>
    <sheet name="郭凯" sheetId="25" r:id="rId12"/>
    <sheet name="刘小芳" sheetId="26" r:id="rId13"/>
    <sheet name="张元" sheetId="22" r:id="rId14"/>
    <sheet name="张芬" sheetId="27" r:id="rId15"/>
    <sheet name="梁海波" sheetId="28" r:id="rId16"/>
    <sheet name="马宝义" sheetId="29" r:id="rId17"/>
    <sheet name="刘卿" sheetId="31" r:id="rId18"/>
    <sheet name="索莹" sheetId="32" r:id="rId19"/>
    <sheet name="姚省军" sheetId="33" r:id="rId20"/>
    <sheet name="张道平" sheetId="34" r:id="rId21"/>
    <sheet name="周天敏" sheetId="35" r:id="rId22"/>
    <sheet name="杨洵" sheetId="30" r:id="rId23"/>
    <sheet name="李晓辉" sheetId="36" r:id="rId24"/>
    <sheet name="王添富" sheetId="37" r:id="rId25"/>
    <sheet name="范浩彬" sheetId="38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<sst xmlns="http://schemas.openxmlformats.org/spreadsheetml/2006/main" count="1109" uniqueCount="464">
  <si>
    <t>指标分类</t>
  </si>
  <si>
    <t>定义</t>
  </si>
  <si>
    <t>指标性质</t>
  </si>
  <si>
    <t>关键绩效指标（KPI）</t>
  </si>
  <si>
    <t>用来反映组织关键成功要素的量化的衡量措施，主要为量化形式的指标，通过设定计算公式来统计绩效得分，具有常规性、例行性、可量化分解等特征。</t>
  </si>
  <si>
    <t>定量指标</t>
  </si>
  <si>
    <t>重点工作任务指标（GS）</t>
  </si>
  <si>
    <t>主要通过描述的方式，对重点工作和核心职能完成情况进行定性评价，通常包含5个考核维度：时间、质量、数量、成本和风险。</t>
  </si>
  <si>
    <t>定性指标</t>
  </si>
  <si>
    <r>
      <rPr>
        <b/>
        <sz val="10"/>
        <color theme="1"/>
        <rFont val="微软雅黑"/>
        <charset val="134"/>
      </rPr>
      <t>关键绩效指标（KPI）维度划分</t>
    </r>
    <r>
      <rPr>
        <sz val="10"/>
        <color theme="1"/>
        <rFont val="微软雅黑"/>
        <charset val="134"/>
      </rPr>
      <t xml:space="preserve">
1、参考BSC平衡计分卡，结合公司运营管理需求，</t>
    </r>
    <r>
      <rPr>
        <b/>
        <sz val="10"/>
        <color theme="1"/>
        <rFont val="微软雅黑"/>
        <charset val="134"/>
      </rPr>
      <t>关键绩效指标（KPI）分为财务指标、运营指标、学习与成长指标三个维度。</t>
    </r>
    <r>
      <rPr>
        <sz val="10"/>
        <color theme="1"/>
        <rFont val="微软雅黑"/>
        <charset val="134"/>
      </rPr>
      <t xml:space="preserve">
2、</t>
    </r>
    <r>
      <rPr>
        <b/>
        <sz val="10"/>
        <color theme="1"/>
        <rFont val="微软雅黑"/>
        <charset val="134"/>
      </rPr>
      <t>财务指标：</t>
    </r>
    <r>
      <rPr>
        <sz val="10"/>
        <color theme="1"/>
        <rFont val="微软雅黑"/>
        <charset val="134"/>
      </rPr>
      <t>财务业绩描述了战略的有形结果，体现了企业是否为股东创造价值，可关注营业收入、净利润、资产回报率等指标
3、</t>
    </r>
    <r>
      <rPr>
        <b/>
        <sz val="10"/>
        <color theme="1"/>
        <rFont val="微软雅黑"/>
        <charset val="134"/>
      </rPr>
      <t>运营指标：</t>
    </r>
    <r>
      <rPr>
        <sz val="10"/>
        <color theme="1"/>
        <rFont val="微软雅黑"/>
        <charset val="134"/>
      </rPr>
      <t>重点关注客户的需求变化及内部流程运营效率。</t>
    </r>
    <r>
      <rPr>
        <b/>
        <sz val="10"/>
        <color theme="1"/>
        <rFont val="微软雅黑"/>
        <charset val="134"/>
      </rPr>
      <t>客户</t>
    </r>
    <r>
      <rPr>
        <sz val="10"/>
        <color theme="1"/>
        <rFont val="微软雅黑"/>
        <charset val="134"/>
      </rPr>
      <t>价值定位定义了企业的差异化战略，即从购买公司产品和服务的客户的角度评估公司表现，可关注市场占有率、客户满意度等指标；</t>
    </r>
    <r>
      <rPr>
        <b/>
        <sz val="10"/>
        <color theme="1"/>
        <rFont val="微软雅黑"/>
        <charset val="134"/>
      </rPr>
      <t>内部流程</t>
    </r>
    <r>
      <rPr>
        <sz val="10"/>
        <color theme="1"/>
        <rFont val="微软雅黑"/>
        <charset val="134"/>
      </rPr>
      <t>描绘了如何执行战略，即公司是如何管理其内部运营流程以执行战略并满足客户需求的，例如可关注库存周转率等指标来判断公司的生产是否得到了改善。
4、</t>
    </r>
    <r>
      <rPr>
        <b/>
        <sz val="10"/>
        <color theme="1"/>
        <rFont val="微软雅黑"/>
        <charset val="134"/>
      </rPr>
      <t>学习与成长指标：</t>
    </r>
    <r>
      <rPr>
        <sz val="10"/>
        <color theme="1"/>
        <rFont val="微软雅黑"/>
        <charset val="134"/>
      </rPr>
      <t>学习与成长描述了成功执行战略所需要的人力资本、IT资本、组织资本等无形资产，即关注公司是否在提升创新、改善和学习的能力，可关注核心员工保有率、培训通过率等指标。</t>
    </r>
  </si>
  <si>
    <r>
      <rPr>
        <b/>
        <sz val="10"/>
        <color theme="1"/>
        <rFont val="微软雅黑"/>
        <charset val="134"/>
      </rPr>
      <t>绩效指标制定的原则</t>
    </r>
    <r>
      <rPr>
        <sz val="10"/>
        <color theme="1"/>
        <rFont val="微软雅黑"/>
        <charset val="134"/>
      </rPr>
      <t xml:space="preserve">
1.目标的制订必须符合</t>
    </r>
    <r>
      <rPr>
        <b/>
        <sz val="10"/>
        <color theme="1"/>
        <rFont val="微软雅黑"/>
        <charset val="134"/>
      </rPr>
      <t>K+SMART法则</t>
    </r>
    <r>
      <rPr>
        <sz val="10"/>
        <color theme="1"/>
        <rFont val="微软雅黑"/>
        <charset val="134"/>
      </rPr>
      <t>即：关键的(Key)、具体的(Specific)、可衡量的(Measurable)、可以达到的(Attainable)、相关的(Relevant)、有时间限制的(Time-based)。
2.</t>
    </r>
    <r>
      <rPr>
        <b/>
        <sz val="10"/>
        <color theme="1"/>
        <rFont val="微软雅黑"/>
        <charset val="134"/>
      </rPr>
      <t>关键的(Key)</t>
    </r>
    <r>
      <rPr>
        <sz val="10"/>
        <color theme="1"/>
        <rFont val="微软雅黑"/>
        <charset val="134"/>
      </rPr>
      <t>，即选择对公司战略目标、经营效益起重要作用的关键绩效指标，不选择无关紧要或对业务没有影响的指标。
3.</t>
    </r>
    <r>
      <rPr>
        <b/>
        <sz val="10"/>
        <color theme="1"/>
        <rFont val="微软雅黑"/>
        <charset val="134"/>
      </rPr>
      <t>具体的(Specific)</t>
    </r>
    <r>
      <rPr>
        <sz val="10"/>
        <color theme="1"/>
        <rFont val="微软雅黑"/>
        <charset val="134"/>
      </rPr>
      <t>，体现绩效指标与业绩目标之间的因果关系，且指标清晰具体，不存在模糊不清。
4.</t>
    </r>
    <r>
      <rPr>
        <b/>
        <sz val="10"/>
        <color theme="1"/>
        <rFont val="微软雅黑"/>
        <charset val="134"/>
      </rPr>
      <t>可衡量的(Measurable)</t>
    </r>
    <r>
      <rPr>
        <sz val="10"/>
        <color theme="1"/>
        <rFont val="微软雅黑"/>
        <charset val="134"/>
      </rPr>
      <t>，定量指标可以量化计算，定性指标可以准确衡量工作结果。
5.</t>
    </r>
    <r>
      <rPr>
        <b/>
        <sz val="10"/>
        <color theme="1"/>
        <rFont val="微软雅黑"/>
        <charset val="134"/>
      </rPr>
      <t>可以达到的(Attainable)</t>
    </r>
    <r>
      <rPr>
        <sz val="10"/>
        <color theme="1"/>
        <rFont val="微软雅黑"/>
        <charset val="134"/>
      </rPr>
      <t>，绩效指标应建立在考核对象以往工作表现的现实基础上，是可以通过努力后实现的。
6.</t>
    </r>
    <r>
      <rPr>
        <b/>
        <sz val="10"/>
        <color theme="1"/>
        <rFont val="微软雅黑"/>
        <charset val="134"/>
      </rPr>
      <t>相关的(Relevant)</t>
    </r>
    <r>
      <rPr>
        <sz val="10"/>
        <color theme="1"/>
        <rFont val="微软雅黑"/>
        <charset val="134"/>
      </rPr>
      <t>，绩效指标在考核对象的责任和权力范围内，必须与公司的战略目标、部门的任务及岗位职责相关联。不制定与本人工作无关的或本人无法影响的指标。
7.</t>
    </r>
    <r>
      <rPr>
        <b/>
        <sz val="10"/>
        <color theme="1"/>
        <rFont val="微软雅黑"/>
        <charset val="134"/>
      </rPr>
      <t>有时间限制的(Time-based)</t>
    </r>
    <r>
      <rPr>
        <sz val="10"/>
        <color theme="1"/>
        <rFont val="微软雅黑"/>
        <charset val="134"/>
      </rPr>
      <t>，绩效指标在规定时限内能得到结果或阶段性结果。</t>
    </r>
  </si>
  <si>
    <t>KPI指标类型</t>
  </si>
  <si>
    <t>指标说明</t>
  </si>
  <si>
    <t>达成率</t>
  </si>
  <si>
    <t>指标得分</t>
  </si>
  <si>
    <t>达成率（例）</t>
  </si>
  <si>
    <t>得分测算</t>
  </si>
  <si>
    <t>正相关指标</t>
  </si>
  <si>
    <t>指标得分与指标达成率成正相关关系</t>
  </si>
  <si>
    <t>X&lt;80%</t>
  </si>
  <si>
    <t>80≤X&lt;110%</t>
  </si>
  <si>
    <t>60+（X-80%）*100*2</t>
  </si>
  <si>
    <t>X&gt;110%</t>
  </si>
  <si>
    <t>负相关指标</t>
  </si>
  <si>
    <t>指标得分与指标达成率成负相关关系</t>
  </si>
  <si>
    <t>红线指标</t>
  </si>
  <si>
    <t>必须达成目标值的指标，未达成则指标得分为0</t>
  </si>
  <si>
    <t>/</t>
  </si>
  <si>
    <t>达标100分，不达标0分</t>
  </si>
  <si>
    <t>首航新能源2025年绩效考核表</t>
  </si>
  <si>
    <t>被考核人姓名</t>
  </si>
  <si>
    <t>刘朋</t>
  </si>
  <si>
    <t>考核人姓名</t>
  </si>
  <si>
    <t>易德刚</t>
  </si>
  <si>
    <t>合约期限：由 2025 年 1 月 1 日</t>
  </si>
  <si>
    <t>被考核人任职岗位</t>
  </si>
  <si>
    <t>系统工程师</t>
  </si>
  <si>
    <t>考核人任职岗位</t>
  </si>
  <si>
    <t>高级副总裁</t>
  </si>
  <si>
    <t>至 2025年 12 月 30 日</t>
  </si>
  <si>
    <t>考核内容</t>
  </si>
  <si>
    <t>权重</t>
  </si>
  <si>
    <t>绩效自评</t>
  </si>
  <si>
    <t>自评说明</t>
  </si>
  <si>
    <t>直接上级评分</t>
  </si>
  <si>
    <t>评分说明</t>
  </si>
  <si>
    <t>年度工作成果
（80%）</t>
  </si>
  <si>
    <t xml:space="preserve">工商业2.0项目开发（ 261kWh储能柜）
</t>
  </si>
  <si>
    <r>
      <rPr>
        <sz val="16"/>
        <color rgb="FF000000"/>
        <rFont val="微软雅黑"/>
        <charset val="134"/>
      </rPr>
      <t xml:space="preserve">1、完成系统方案设计和开开发过程关键领域评审；
2、根据销售目标规划产品认证，全程跟踪认证测试情况和取证进度；
3、配合售前整理产品技术资料、前端运营销售需求，和市场部宣传需求；
4、年底对并离网柜开发工作进行承接；
</t>
    </r>
    <r>
      <rPr>
        <b/>
        <sz val="16"/>
        <color rgb="FF000000"/>
        <rFont val="微软雅黑"/>
        <charset val="134"/>
      </rPr>
      <t>总结：目前完成工商业2.0的EVT阶段（样机、测试、认证、资料），具备可生产和发货条件，但系统成本与初始仍有差异、并离网功能仍然缺失、长时储能未提前规划。</t>
    </r>
  </si>
  <si>
    <t xml:space="preserve">工商业1.5/1.0项目
</t>
  </si>
  <si>
    <r>
      <rPr>
        <sz val="16"/>
        <color rgb="FF000000"/>
        <rFont val="微软雅黑"/>
        <charset val="134"/>
      </rPr>
      <t xml:space="preserve">1、根据市场售后反馈，完成工商业1.5的迭代升级项目（SOFAR/ZCS/Neoom），解决现场并柜安装复杂问题；
2、组织针对项目进行售后维护，针对复杂客诉问题组织进行跟踪闭环；
</t>
    </r>
    <r>
      <rPr>
        <b/>
        <sz val="16"/>
        <color rgb="FF000000"/>
        <rFont val="微软雅黑"/>
        <charset val="134"/>
      </rPr>
      <t>总结：今年实现了月均120台工商柜突破，目前售后问题相对收敛，但部分液冷、消防问题仍时有发生客诉，与当时的选型和架构有关，不好彻底解决，投入了较多的运维成本。</t>
    </r>
  </si>
  <si>
    <t>3.44MWh集装箱项目/变流升压一体机/5MWH集装箱</t>
  </si>
  <si>
    <r>
      <rPr>
        <sz val="16"/>
        <color rgb="FF000000"/>
        <rFont val="微软雅黑"/>
        <charset val="134"/>
      </rPr>
      <t xml:space="preserve">1、持续关注Neoom/timeless/Nobility/LSG/Videoton等客户项目交付和售后对接支持
2、5MWH集装箱项目的对接沟通评估，前期EVE/蜂巢等，后期双登/鹏辉等。
</t>
    </r>
    <r>
      <rPr>
        <b/>
        <sz val="16"/>
        <color rgb="FF000000"/>
        <rFont val="微软雅黑"/>
        <charset val="134"/>
      </rPr>
      <t>总结：今年实际落地了多个大储项目，完成了生产交付和现场调试，但整个端到端过程还是非常混乱，全靠一个负责的PM支撑；另外对接供应商规划了5MWH产品，但今年仅有斯洛文尼亚30MWH落地，销售额有限。</t>
    </r>
  </si>
  <si>
    <t>团队建设</t>
  </si>
  <si>
    <t>总结：兼任不同岗位承担了很多工作，维持了产品线正常运转，保持了团队和核心人员的稳定性，但对内部的管理不够有力，对部分人员出于稳定性考虑不想也不敢有太大的动作，研发效率有限。</t>
  </si>
  <si>
    <t>工作态度（20%）</t>
  </si>
  <si>
    <t>工作积极性及敬业度</t>
  </si>
  <si>
    <t>总结：在一年的几次波折中队伍还没有散，工作还在推进，略有苦劳吧</t>
  </si>
  <si>
    <t>协作配合及责任意识</t>
  </si>
  <si>
    <r>
      <t xml:space="preserve">1、与上海团队在工商业、大储方方面面的协作；
2、与户储团队在96kWh风冷柜的协作；
</t>
    </r>
    <r>
      <rPr>
        <b/>
        <sz val="16"/>
        <color rgb="FF000000"/>
        <rFont val="微软雅黑"/>
        <charset val="134"/>
      </rPr>
      <t>总结：跨部门甚至跨产品线协作的能力有限，很多事情最后都是两头不讨好，下面的工程师意见很大，协作的部门也意见很大</t>
    </r>
  </si>
  <si>
    <t>合计</t>
  </si>
  <si>
    <t>绩效等级</t>
  </si>
  <si>
    <t>（绩效等级确定后在此处填写）</t>
  </si>
  <si>
    <t>绩效得分</t>
  </si>
  <si>
    <t>（绩效分数确定后在此处填写）</t>
  </si>
  <si>
    <t>已确认以上绩效评估结果。</t>
  </si>
  <si>
    <t>被考核人签名:</t>
  </si>
  <si>
    <t>考核人签名:</t>
  </si>
  <si>
    <t>签署时间:</t>
  </si>
  <si>
    <t>马国平</t>
  </si>
  <si>
    <t>软件系统资深工程师</t>
  </si>
  <si>
    <t>系统主任工程师兼工商业储能PDT负责人</t>
  </si>
  <si>
    <t>至 2025年 12 月 31 日</t>
  </si>
  <si>
    <t>工商业储能1.0软件版本规划和迭代</t>
  </si>
  <si>
    <t>1.参与负责软件版本的规划、部分方案设计、验证、代码评审及CCB评审等；
2.参与产品售前需求对接及售后客户端技术支持（如严重亏电的补电等）；
3.维护更新产品软件相关的文档等(如EMS介绍及操作，对外通讯协议，WEB使用等)；</t>
  </si>
  <si>
    <t>需求-设计-开发-测试，这个闭环过程还是经常不顺畅</t>
  </si>
  <si>
    <t>工商业储能2.0软件版本规划和开发</t>
  </si>
  <si>
    <t>1.参与CSU软件的通讯架构和框架的优化/评审和部分文档输出等；
2.参与CSU软件的技术和代码评审和部分问题分析解决；
3.参与软件节点和进度推动等配合协调工作；</t>
  </si>
  <si>
    <t>一些工作做的还是不细，还是有很多不可控的地方</t>
  </si>
  <si>
    <t>并离网切换MGCC软件</t>
  </si>
  <si>
    <t>1.参与MCU1软件规划调整和评审；
2.参与MCU2 GD芯片验证及软件概要设计与组织评审等；</t>
  </si>
  <si>
    <t>1.积极对接客户需求、评估和实现交付，对产品产线和售后端问题积极组织力量分析解决等，导入新的技术/工具等</t>
  </si>
  <si>
    <t>团队管理和队伍建设都做的很好</t>
  </si>
  <si>
    <t>1.参与新产品的相关硬件/结构/电气等评审和协作，全力配合项目节点，产品软件发版和特殊定制的交付等</t>
  </si>
  <si>
    <t xml:space="preserve">  马国平</t>
  </si>
  <si>
    <t>陈涣坚</t>
  </si>
  <si>
    <t>软件开发中级工程师</t>
  </si>
  <si>
    <t>工商业储能PDT负责人</t>
  </si>
  <si>
    <t>至  2025 年 12  月 31</t>
  </si>
  <si>
    <t>工商业1.0开发 &amp; 维护 &amp; 内部系统测试</t>
  </si>
  <si>
    <t xml:space="preserve">  参与模块： CSU-MCU1 / CMU-MCU1 / CMU-MCU2
  2025版本范围：V1.0.23 - V1.0.40
  1、修复各端提出的BUG
  2、配合添加客户/售后提出的需求功能，优化产品体验
  3、自测并输出各版本自测文档
  4、负责对外协议的维护和固件发版
  5、可控范围内优化代码结构，提高代码可读性</t>
  </si>
  <si>
    <t>1. 能独立负责工商业1.0的软件开发验证和发版提测和流程等
2. 积极参与对接产品的售后问题支持服务</t>
  </si>
  <si>
    <t>工商业1.0 售后支持与文档输出</t>
  </si>
  <si>
    <t xml:space="preserve"> 1、远程支持售后排查和解决问题
 2、根据常见和可能遇到的问题，输出售后维护文档</t>
  </si>
  <si>
    <t>1.能按要求输出/更新技术指导文档</t>
  </si>
  <si>
    <t>工商业2.0 开发与维护</t>
  </si>
  <si>
    <t xml:space="preserve"> 1、了解需求，编写MCU2 的软件方案设计文档
 2、负责MCU1其中的模块开发和自测
 3、负责系统自测和输出自测文档，并对外固件发版</t>
  </si>
  <si>
    <t>1.参与工商业2.0的主从功能通讯，能流统计等模块开发
2.上述模块的质量完成度不高，要不现低级错误，加强对实现方案的串讲与反串讲</t>
  </si>
  <si>
    <t>积极完成上级布置的任务，不拖沓不推诿，基本能按时或是提前完成</t>
  </si>
  <si>
    <t>1.能及时响应客户、产线和售后的支持响应</t>
  </si>
  <si>
    <t>1、对上级提出的任务进行分解，及时提出疑问
2、与同事一同协作开发项目，发现问题及时解决
3、对售后遇到的问题及时解决</t>
  </si>
  <si>
    <t>1.能积极响应产品前后端的协助，面对复杂问题要有较真精神</t>
  </si>
  <si>
    <t>刘涵</t>
  </si>
  <si>
    <t>集中式储能3.44MWH集装箱软件开发及维护</t>
  </si>
  <si>
    <t>1. MCU1:  参与相关维护和开发工作：找到并修复历史数据内存越界bug、修复消防逻辑bug、开发电芯温度前三筛选算法。
2. MCU2：与景安消防软件配合完成其消防控制器的升级适配</t>
  </si>
  <si>
    <t>1.完成MCU1软件开发和软件适配验证</t>
  </si>
  <si>
    <t>工商业储能1.0 软件开发</t>
  </si>
  <si>
    <t>1. 完成1.0-WEB的维护工作：对已开发过代码的bug修复
2. 完成1.0-WEB的优化工作：接手1.0-WEB工作后，对整个项目代码进行梳理，优化和删除其中不合理和冗余的代码，修正翻译词条中未对齐和错误的部分
3. 完成1.0-WEB的开发工作：重构本地ems界面、完成强制补电功能页面等，不详细赘述。</t>
  </si>
  <si>
    <t>1.对1.0之前的代码做了优化和版本迭代维护</t>
  </si>
  <si>
    <t>工商业储能2.0 软件开发</t>
  </si>
  <si>
    <t>1. 基于1.0-WEB的已有功能需求，对所有页面代码进行重构，代码量由68023减少到41072，减少40%代码，代码可阅读性和可维护性大幅提高
2. 优化WEB页面显示效果、优化布局，归总所有设置页面，提高WEB的易用性
3. 2.0-WEB平台新功能开发：例如（a） 重新设计单柜及多柜能流拓扑界面，实现光伏电表和储能柜等数量的自动适配显示，实现充电放电的动态流动显示和颜色区分，提高拓扑页面的整体美观性和智能化；(b) 设计实现开局向导功能，实现设备树状态显示页面提示用户储能柜的构成和通讯状态，以及电表图表点击实现快速配置电表功能，实现分步引导设置项，实现用户开机充放电步骤指引。除上述以外更多功能不再详细赘述。
4. 整体代码重构和新功能实现中，保证软件代码质量，工商业2.0的EVT阶段基本没有WEB相关bug。</t>
  </si>
  <si>
    <t>1.在1.0的基础上对2.0做了重构，整体界面交互完成度和体验都较好</t>
  </si>
  <si>
    <t>并离网切换柜 软件开发</t>
  </si>
  <si>
    <t>完成并离网切换柜WEB平台前期工作，MGCC项目适配，完成WEB整体框架适配工作，移植多语言词条统一管理功能，完整实现本地ems所有功能页面，实现一版概览版的光储柴储能电网能流图</t>
  </si>
  <si>
    <t>1.在CH1000基础上移植并联EMS策略，能流图和工商业2.0的设备概要信息等</t>
  </si>
  <si>
    <t>知识产权保护</t>
  </si>
  <si>
    <t>积极完成知识产权相关工作，提交两项发明专题和一项软著，具体如下：
1. 发明专利：一种储能系统的显示方法、装置、显示设备及储能系统
2. 发明专利：一种多语言词条管理方法、电子设备及存储介质
3. 软件著作：第二代工商业储能系统 WEB平台</t>
  </si>
  <si>
    <t>完成了2个专利+软著</t>
  </si>
  <si>
    <t>各项软件需求提出时，快速拉通具体详情，积极快速完成。对各项目代码进行代码检查，积极修复仍未被发现的bug。</t>
  </si>
  <si>
    <t>工作努力认真，需要承担更多的对外沟通支持工作</t>
  </si>
  <si>
    <t>1.积极与同事配合完成前后端协作开发，积极与同事对齐疑问点和问题点，快速响应解决。
2. 对所负责的软件代码部分，认真且完整完成自测，保证代码质量，工商业2.0的EVT阶段基本没有WEB相关bug。</t>
  </si>
  <si>
    <t>能积极配合，需要更多的拉通和对齐工作</t>
  </si>
  <si>
    <t>首航新能源2024年绩效考核表</t>
  </si>
  <si>
    <t>董祖皇</t>
  </si>
  <si>
    <t>嵌入式软件工程师</t>
  </si>
  <si>
    <t>至 2025 年 12 月 31 日</t>
  </si>
  <si>
    <t>工商业1.0软件开发维护</t>
  </si>
  <si>
    <t>1.参与工商业1.0软件新功能开发和维护，bug修复工作，累计发版28次
2. 工商业售后问题解决跟进，远程解决现场售后问题</t>
  </si>
  <si>
    <t>1. 积极主导工商业1.0的软件版本开发和发版</t>
  </si>
  <si>
    <t>工商业2.0软件开发</t>
  </si>
  <si>
    <t>参与新项目工商业2.0 CSU-MCU1软件开发，负责PCS通信、升级、故障录波、系统状态管理等模块的编码和测试工作</t>
  </si>
  <si>
    <t>1. 工商业2.0基于1.0的重构，在EVT测试中还是有些不应出现BUG，测试用例覆盖或自测不够</t>
  </si>
  <si>
    <t>集中式储能软件维护和售后问题解决跟进</t>
  </si>
  <si>
    <t>集储CMU软件维护工作，累计发版2次，远程协助售后解决现场问题</t>
  </si>
  <si>
    <t>1. 积极完成集储BESS 3.44MW的售后技术支持</t>
  </si>
  <si>
    <t>MGCC_MCU2软件开发</t>
  </si>
  <si>
    <t>参与MGCC项目MCU2软件开发，负责GD新平台软件框架搭建，驱动和中间层代码开发</t>
  </si>
  <si>
    <t>1. 主导并离网柜MCU2 GD新芯片的BSP、驱动和CORE开发</t>
  </si>
  <si>
    <t>撰写发明专利</t>
  </si>
  <si>
    <t>提交2个发明专利</t>
  </si>
  <si>
    <t>1.完成提交2个发明专利</t>
  </si>
  <si>
    <t>能及时的完成软件开发和维护工作，快速解决测试和售后反馈的bug，注重产品软件的质量</t>
  </si>
  <si>
    <t>1.工作努力认真，积极主导工商业1.0的多个软件版本发版</t>
  </si>
  <si>
    <t>与软件内部团队配合密切，积极参与各种软件方案的指定和落地，与售后人员及时沟通和解决售后问题，快速响应 生产提出的需求和问题，一切以产品质量为导向。</t>
  </si>
  <si>
    <t>1.能与其他部门配合协作，技术拉通/信息同步和反馈还需要多主动一些</t>
  </si>
  <si>
    <t xml:space="preserve">     董祖皇</t>
  </si>
  <si>
    <t>薛桐</t>
  </si>
  <si>
    <t>软件工程师岗位</t>
  </si>
  <si>
    <t>工商业储能1.0</t>
  </si>
  <si>
    <t>1、作为项目开发者沟通开发软件需求，处理测试及售后问题。</t>
  </si>
  <si>
    <t>1. 负责工商业1.0 CSU的软件开发/维护，对接储能云一期二期的开发验证等</t>
  </si>
  <si>
    <t>工商业储能2.0</t>
  </si>
  <si>
    <t>1、主导设计软件框架，针对1.0方案缺点优化软件逻辑；
2、把控整体软件开发进度；
3、开发软件需求；</t>
  </si>
  <si>
    <t>1.主导工商业2.0的软件框架和代码重构，完成度较好，本地EMS策略迁移中覆盖和自测有一定的缺失</t>
  </si>
  <si>
    <t>并离网柜</t>
  </si>
  <si>
    <t>1、在CH1000基础上梳理软件逻辑，开发并离网软件需求。</t>
  </si>
  <si>
    <t>1.非常积极的争取项目开发和快速熟悉CH1000的框架及代码，验证既有的并网策略和开发新的离网策略</t>
  </si>
  <si>
    <t>1、积极参与软件开发，保证整体项目进度；
2、积极响应售后现场问题，处理现场软件问题；
3、完成软件专利一项、软著两项；</t>
  </si>
  <si>
    <t>1. 非常积极的推动软件的计划达成</t>
  </si>
  <si>
    <t>1、积极与部门内同事以及部门外同事交流，争取意见达成一致，通力合作，把产品做好作为第一责任。</t>
  </si>
  <si>
    <t>1.能主动/积极拉通各方的协作配合，对技术难题有自己的思考</t>
  </si>
  <si>
    <t>陈龙利</t>
  </si>
  <si>
    <t>合约期限：由 2025 年  1月 1 日</t>
  </si>
  <si>
    <t>工商储PDT-软件开发中级工程师岗位</t>
  </si>
  <si>
    <t>工商业项目达成率100%得满分，达成率80%得60分，达成率低于80%此项为0分；如果年内启动了新产品项目则此项为110%。</t>
  </si>
  <si>
    <t>工商业2.0项目MCU2软件模块注重代码可读性和模块化设计，各子模块注重方案设计、方案评审、功能模块实现、功能自测试流程进行，保证软件功能可靠性和可维护性。</t>
  </si>
  <si>
    <t>1.负责工商业2.0MCU2的开发，热管理和消防等。前期对逻辑验证覆盖和细致不够</t>
  </si>
  <si>
    <t>新技术包括工具类、方法类和技术文档，实际完成数量/计划完成数量*100%</t>
  </si>
  <si>
    <t>完成工商业2.0项目MCU2软著编写与申请</t>
  </si>
  <si>
    <t>1.完成工商业2.0的软著编写</t>
  </si>
  <si>
    <t>始终保持积极的工作态度，主动发现反馈问题，如工商业2.0EVT阶段单板产测事情推进。对工作抱有强烈的责任心，持续跟进工商业1.0 web界面指导文档定期更新工作。</t>
  </si>
  <si>
    <t>1. 积极认真完成既定的任务，希望后续能主动承接更多工作和对外技术支持</t>
  </si>
  <si>
    <t>注重团队配合，有问题随时反馈到项目组，对自己的任务高度负责，主动承担责任，不推诿</t>
  </si>
  <si>
    <t>1. 软件内部协作良好，需要更主动的拉通和串讲疑问和实现细节等</t>
  </si>
  <si>
    <t>杨廷彦</t>
  </si>
  <si>
    <t>暖通初级工程师</t>
  </si>
  <si>
    <t>SE/PDT负责人</t>
  </si>
  <si>
    <t>集中式&amp;工商业1.0产品温控系统维护</t>
  </si>
  <si>
    <t>提供研发端液冷模块的生产售后技术支持，保障产品稳定运行</t>
  </si>
  <si>
    <t>维护工作基本覆盖，部分不细致，对很多问题的台账总结不够好</t>
  </si>
  <si>
    <t>工商业2.0项目温控系统新开发</t>
  </si>
  <si>
    <t>完成新产品2.0液冷方案设计选型和热管理策略优化，液冷系统测试及输出相关技术文件，保障项目完整推进</t>
  </si>
  <si>
    <t>完成了新产品沟通选型和测试，噪音问题、冷媒问题、降本问题有待进一步深入跟踪</t>
  </si>
  <si>
    <t>工商业风冷项目96kwh和241kwh项目</t>
  </si>
  <si>
    <t>完成工商业风冷柜空调方案设计和热管理策略设计等技术文件输出</t>
  </si>
  <si>
    <t>协助开发了风冷项目</t>
  </si>
  <si>
    <t>积极完成本职工作和对其他专业的经验分享，主动查找行业产品并分析液冷温控方案</t>
  </si>
  <si>
    <t>长期一个人承担了很多工作</t>
  </si>
  <si>
    <t>与软件，生产等部门紧密协作，拉通需求点高效解决产品开发中逻辑、安装等问题，保障项目按期推进</t>
  </si>
  <si>
    <t>售前售后工厂等多方对接</t>
  </si>
  <si>
    <t>刘卓然</t>
  </si>
  <si>
    <t>合约期限：由 2025 年  月 9 日</t>
  </si>
  <si>
    <t>暖通中级工程师 岗位</t>
  </si>
  <si>
    <t>XXX岗位</t>
  </si>
  <si>
    <t>至 2025年 12 月 31日</t>
  </si>
  <si>
    <t>工商业储能柜产品维护（1.0、1.5产品）</t>
  </si>
  <si>
    <t>完成工作：
对接售后和生产问题
对接供应商，推动解决上述问题
记录汇总，保证问题闭环，保证共性问题快速解决
待加强：
对于产生的新问题尚需要不断学习</t>
  </si>
  <si>
    <t>梳理的不够清晰</t>
  </si>
  <si>
    <t>协助工商业2.0产品开发</t>
  </si>
  <si>
    <t>完成工作：
根据查找相关资料和相关经验完成工商业2.0高低温测试大纲初版编写
电压2.5~3.6V温升测试与数据汇总分析
电压2.7~3.6V温升测试与数据汇总分析</t>
  </si>
  <si>
    <t>承担了部分工作</t>
  </si>
  <si>
    <t>协助风冷柜开发</t>
  </si>
  <si>
    <t>完成工作
风冷1.5kw空调温升测试与数据汇总分析
风冷2.0kw空调温升测试与数据汇总分析</t>
  </si>
  <si>
    <t>主动学习能力不够，部分工作的跟踪不够及时</t>
  </si>
  <si>
    <t>郭凯</t>
  </si>
  <si>
    <t>XXX</t>
  </si>
  <si>
    <t>储能安全中级工程师</t>
  </si>
  <si>
    <t>设计开发储能系统的消防系统和相关控制策略</t>
  </si>
  <si>
    <t>1、主导完成工商业 2.0 储能柜消防系统的设计与开发，负责系统架构规划、关键零部件选型及控制逻辑制定，并通过多轮测试验证，确保系统稳定可靠，顺利导入量产；
2、开展消防系统器件失效分析，定位电芯异常导致的温度采样混乱问题，优化工商业 1.0/1.5 产品的消防逻辑，有效提升系统安全性与稳定性；
3、根据项目需求完成 CBS8000-96kWh，CBS8000-241kWh风冷柜消防器件的选型与方案设计，确保器件满足系统性能、成本及可靠性要求；
4、基于设计方案及优化逻辑，主导撰写并申报 2 项发明专利，推动技术成果沉淀与知识产权保护。</t>
  </si>
  <si>
    <t>主导了各个集成项目中消防方案的设计开发与验证</t>
  </si>
  <si>
    <t>测试验证消防系统和控制策略，做到无消防监测和控制盲区；</t>
  </si>
  <si>
    <t>1、系统开展 120Ah、280Ah、314Ah 电芯热失控摸底测试，评估隔热材料性能，分析热失控特征并制定针对性探测逻辑；
2、开展冷媒 R513A 与全氟己酮对电芯热失控的降温与抑制效果研究，系统评估两种介质的降温效率、抑制能力以及灾后气体成分的安全性，为储能系统消防介质选型提供重要依据；
3、组织实施舱级气溶胶灭火测试，验证户外柜舱内火灾场景下气溶胶灭火的有效性与适用边界，为舱级消防方案的优化与定型提供实验支撑。</t>
  </si>
  <si>
    <t>参与了很多验证实验的规划与测试，做的还比较细致</t>
  </si>
  <si>
    <t>持续关注行业最新的技术和方案，熟悉储能系统消防标准、规范，为消防系统升级换代做好储备</t>
  </si>
  <si>
    <t>1、系统解读 NFPA855-2026、GB44240-2024、ISO3744-2010、Cirolare BESS-2023 等储能行业核心安全标准，重点拆解新版标准中 “主动防爆”“大规模火灾测试”“多技术路线适配” 等关键更新要求，提炼标准对产品设计、测试验证的强制性约束，为公司储能系统安全合规设计提供明确技术依据；
2、收集行业友商信息，包括大规模火烧测试、集装箱与工商业安全设计、消防传感器技术趋势等，为公司产品安全升级，器件降本提供参考。</t>
  </si>
  <si>
    <t>部分展会、友商信息收集的还不错，但总体还是感觉很零散，可能个人很清楚，无法形成组织内部的一些可直接借鉴的文档或工具</t>
  </si>
  <si>
    <t>1.第一时间对接领导部署及售前、售后、上下游同事的各类业务需求，全力配合协同推进，保障各项工作高效落地；
2. 积极响应市场问题，拉通多部门快速分析产品故障原因，推动供应商整改，闭环生产制造环节出现的各类问题。</t>
  </si>
  <si>
    <t>1、强化跨部门协作配合，主动对接售前、研发内部、生产、品质等团队，同步技术参数与问题进展，高效推进消防系统设计落地及问题整改，保障团队整体目标达成；
2、坚守责任意识，对消防系统设计、测试及问题整改全流程负责，主动预判技术风险与合规隐患，提前制定应对方案，杜绝因个人疏漏影响产品安全及生产进度。</t>
  </si>
  <si>
    <t>刘小芳</t>
  </si>
  <si>
    <t>储能安全初级工程师</t>
  </si>
  <si>
    <t>工作成果1：产品安全需求转化与设计输入</t>
  </si>
  <si>
    <t>解读分析国内外最新安全标准（如UL 9540A、NFPA855、GB36276、IEC 62933等）及客户特定安全需求，将其转化为具体、可量化的设计输入准则，为储能消防系统的架构设计与选型提供核心依据。</t>
  </si>
  <si>
    <t>没有梳理成很好的技术参考文档</t>
  </si>
  <si>
    <t>工作成果2：产品安全测试与验证</t>
  </si>
  <si>
    <t>承接2.0Pack的安全测试，包括热失控测试、振动测试、跌落测试等，分析测试数据，根据测试现象和结果调整pack安全设计，优化pack电气绝缘设计和隔热设计，确保产品通过国标/国际认证（如GB、UL）。
承接PowerMaster消防软件测试：对因客户要求或有软件bug等有变动的消防系统软件进行测试，提前排查消防软件变更风险，确保软件满足预设功能且无其他问题。</t>
  </si>
  <si>
    <t>协助完成了很多安全测试</t>
  </si>
  <si>
    <t>工作成果3：产品维护</t>
  </si>
  <si>
    <t>为集中式储能产品提供研发端在消防板块方面的文件支持、技术支持和现场维护支持，保障集中式储能项目成功交付及运行。
维护并管理PowerMaster的消防器件，跟进消防器件变更和优化，确保消防产品来料和安装顺利进行。</t>
  </si>
  <si>
    <t>集装箱产品维护</t>
  </si>
  <si>
    <t>本年度对储能安全工作始终保持高度热情，主动关注行业安全动态和技术标准更新，积极承担风险分析、测试验证等工作。在项目周期紧张时，能主动加班，在休息时间内也能及时回复工作消息。同时，持续学习热管理、电气安全等专业知识，提升岗位胜任力，未来会进一步提升对系统性安全问题的前瞻性思考能力。</t>
  </si>
  <si>
    <t>在项目中积极与结构、电气和测试等部门协作，主动沟通并推进问题点解决，推动安全要求落地。及时完成工作要求之外，还严格要求自己将工作做的更好更细致，对负责的产品安全测试等工作都会多次沟通确认，确保测试时能顺利进行达到测试预期，对负责的产品标准解读，都力求他人能易读易理解。
除完成本职工作外，还担任部门助手，包括安排团建活动，办公用品统计、部门安全宣导等工作，促进团队意识增强，保障团队正常运转和后勤需求。</t>
  </si>
  <si>
    <t>2026.1.19</t>
  </si>
  <si>
    <t>张元</t>
  </si>
  <si>
    <t>测试工程师</t>
  </si>
  <si>
    <t>工商业储能系统1.0测试</t>
  </si>
  <si>
    <t>1、工商业储能系统1.0测试，跟踪问题处理并验证处理结果。
2、协助测试奥地利列明认证，输出测试数据及测试结果。</t>
  </si>
  <si>
    <t>工商业储能系统2.0测试</t>
  </si>
  <si>
    <t>1、搭建工商业储能系统测试平台。
2、搭建314Ah电芯循环测试平台。
3、编写测试大纲，完成EVT阶段测试，跟踪问题处理并验证处理结果，输出测试报告。
4、协助规划并离网柜调试&amp;测试平台。</t>
  </si>
  <si>
    <t>系统、模块、测试方法等各方面知识都有待学习加强</t>
  </si>
  <si>
    <t>1、准时完成测试工作任务。
2、及时响应并完成领导安排的工作任务。</t>
  </si>
  <si>
    <t>工作安排不够细致，很多工作做的不够及时</t>
  </si>
  <si>
    <t>1、配合售后解决客户现场问题；
2、配合软件同事搭建调试平台及调试；
3、跟踪问题处理情况直至问题闭环。</t>
  </si>
  <si>
    <t>张芬</t>
  </si>
  <si>
    <t>测试中级工程师</t>
  </si>
  <si>
    <t>1500V</t>
  </si>
  <si>
    <t>结合软件开发当前的需求文档和开发进度测试1.0的1500V，攥写测试报告，循环平台的单板更换和正常运行维护</t>
  </si>
  <si>
    <t>系统到部件的各方面知识有待加强学习</t>
  </si>
  <si>
    <t>工商储云平台</t>
  </si>
  <si>
    <t>攥写单簇设备的测试大纲，测试部分已完成的需求，跟踪问题，闭环问题，攥写测试报告</t>
  </si>
  <si>
    <t>工商业1.0发版</t>
  </si>
  <si>
    <t>工商业1.0PVT阶段发版的测试，跟踪发现问题，闭环相关问题，攥写测试报告</t>
  </si>
  <si>
    <t>测试过程中的问题要有自己的独立见解，要了解功能和场景，开会的时候经常感觉还不是特别熟悉了解</t>
  </si>
  <si>
    <t>工作中保持服从工作安排，持续学习新的技能，具备项目的相关基础知识</t>
  </si>
  <si>
    <t>团队中会配合队员去处理相关事项，也会根据自身的问题去和队员进行沟通，保持步调基本一致</t>
  </si>
  <si>
    <t>协作不是简单听别人说什么、做什么，一些问题怎么拉通，怎么梳理，怎么推进，推进不了怎么处理，自己如何判断，都是需要有自己的考虑在里面，这样的协作才是高质量的</t>
  </si>
  <si>
    <t>梁海波</t>
  </si>
  <si>
    <t>PMG经理</t>
  </si>
  <si>
    <t>产品线负责人</t>
  </si>
  <si>
    <t>工商业2.0项目（ 261kWh储能柜）
1、完成项目立项、设计、EVT等阶段
2、配合完成第一阶段认证和资料（UN/62619/6100）及第二阶段认证规划和认证开展
3、完成SOFAR产品料号及产品信息整理和发布，推动产品商务降本和替代料降本
4、配合售前整理产品技术资料、前端运营销售需求，和市场部参展样机需求
5、并离网柜项目工作承接</t>
  </si>
  <si>
    <t>完成工商业2.0的EVT阶段（样机、测试、认证、资料），将产品料号完成整理发布和承认等工作，配合前端运营和后端计划物控推动销售需求的生产任务。</t>
  </si>
  <si>
    <t>过程管理还是不够细致，会议组织偶尔没有调理，略显混乱</t>
  </si>
  <si>
    <t>工商业1.5/1.0项目
1、完成工商业1.5的迭代升级项目（SOFAR/ZCS/Neoom）
2、完成售后备件清单和售前售后相关问题资料整理说明
3、配合运营物流出货和售后仓库等问题处理
4、配合售前认证续证和新市场新增认证</t>
  </si>
  <si>
    <t>7月份完成工商业1.5的升级迭代开发，完成产品料号发布承认等，配合完成Neoom客户定制需求。
25年配合运营交付工商业产品达到600台。
完成认证续证和新增认证（63056/CMA等）测试取证。</t>
  </si>
  <si>
    <t>很好，承担了很多对外的沟通工作</t>
  </si>
  <si>
    <t>3.44MWh集装箱项目/变流升压一体机
1、完成Neoom/timeless/Nobility/LSG/Videoton等客户项目交付和售后对接支持
2、完成MVStation物流运输相关认证（续证/气体钢箱）
3、海外售后反馈问题对接和备件清单
5.16MWh蜂巢集装箱项目
1、完成Kamel项目需求/认证对接、项目交付</t>
  </si>
  <si>
    <t>完成6个客户集装箱/变流升压一体机的顺利交付，并顺利对变流升压一体机的钢箱认证和25年续证等事宜。
完成首个5MWh+委外（蜂巢）项目的流程拉通（涉及销售、售前、研发、售后），完成Kamel项目顺利交付和并网运行。</t>
  </si>
  <si>
    <t>零碎工作很多，不容易</t>
  </si>
  <si>
    <t>部门事项
1、部门资产配合盘点，处理研发试装报废物料等
2、产品线认证测试的物料，组织生产/研发重新利用
3、配合公司的认证审查的资料整理</t>
  </si>
  <si>
    <t>完成工商业2.0/工商业1.5试装研发遗留的物料报废处理，将产品线之前测试认证呆滞物料，重新翻新组装成储能柜，后续给到工厂或者折旧卖出投资电站。</t>
  </si>
  <si>
    <t>1、主动承担产品线对外的工作（生产/品质/器件等），并与供应商沟通售后相关的备件和补充售后协议签署等。
2、配合项目交付，休息时间在供应商跟进交付和问题处理。</t>
  </si>
  <si>
    <t>1、协助计划物控与供应商沟通物料交期。
2、主动配合售后处理售后备件清单在研发端内部问题解决。
3、定期与生产拉通生产反馈问题。</t>
  </si>
  <si>
    <t>马宝义</t>
  </si>
  <si>
    <t>集储结构经理</t>
  </si>
  <si>
    <t>至 2025年12 月31 日</t>
  </si>
  <si>
    <t>新项目的研发：PowerMagic 2.0 (261KWh储能柜)、PowerMagic Mini (98KWh一体机)、625KW2 并离网切换柜、314AH电芯52S PACK、96kwh风冷系统柜、125KW三项四线PCS、5MW PCS系统柜、5.26MW升压一体机</t>
  </si>
  <si>
    <t xml:space="preserve">1、结构系统方案的主导、评审；
2、结构详细设计方案的评审、设计优化建议、设计成本价格的管控、质量可靠性以及热的评审；
3、标准测试结构问题的评审和优化方案建议和处理；
4、图纸、资料的审核；
5、新产品涉及到的结构相关的标准的解读和应用；
6、新供应链的技术沟通；
7、新技术新材料或是新的方案的验证主导；
</t>
  </si>
  <si>
    <t>25年新项目较多，都做了有效支撑</t>
  </si>
  <si>
    <t>老项目的维护：PowerMagic 1.0 / PowerMagic 1.5、400V 汇流柜、PowerMaster、EBI 215K-250K  PCS模块、EBI 125K/215K-R PCS模块、EBI 1725K系统柜、3.545MW与7.1MW变流升压一体机</t>
  </si>
  <si>
    <t>1、结构新需求改造评审；
2、结构降本新物料导入；
3、结构优化方案的建议和评审；
4、ECN、图纸、资料的审核；
5、售后结构问题给出专业的意见和建议，相关标准的解读，把专业意见给到品质和售后，与客户对接；</t>
  </si>
  <si>
    <t>neoom质量问题，各类客诉问题，工厂的图纸、工艺、品质等各类对接问题需要更深入跟进</t>
  </si>
  <si>
    <t>技术文档的指导和输出</t>
  </si>
  <si>
    <t>指导《室外机柜通用质量规范》、《产品表面外观缺陷及检测方法定义》《power magic1.0&amp;1.5质量控制要点》《power magic2.0质量控制要点》文档的输出，定义我司机柜的标准。</t>
  </si>
  <si>
    <t>针对今年很多客诉问题，最后都做了规范指导进行闭环</t>
  </si>
  <si>
    <t>1、各个项目组人力资源的配置和协调；
2、团队人力资源的招聘；
3、团队凝聚力的建设，结构各个产品对应的负责人，能够积极主动加班加点满足项目组需求</t>
  </si>
  <si>
    <t>带领结构团队承接各个项目的结构性工作，与各个产品线领导拉通相关问题，及时有效的解决各种结构的问题。</t>
  </si>
  <si>
    <t>积极主动的配合各个项目组的工作进度：从设计方案专业建议、方案评审指出问题、结构资源调配、生产和售后的问题的专业意见和解决方案，满足整个项目的各种需求并提出结构的建业意见和建议。</t>
  </si>
  <si>
    <t>刘卿</t>
  </si>
  <si>
    <t>合约期限：由 2025 年1月 1 日</t>
  </si>
  <si>
    <t>结构高级工程师岗位</t>
  </si>
  <si>
    <t>结构经理岗位</t>
  </si>
  <si>
    <t>至 2025年 12月 31 日</t>
  </si>
  <si>
    <t>EBI2580K-DP</t>
  </si>
  <si>
    <t>1、完成该项目A柜及B柜的的整体结构开发设计；
2、按要求完成该项目的结构打样，评审优化，提交测试；
3、协助完成该项目的结构相关测试验证，及提供外部认证测试相关资料及结构物料；
4、完成结构相关技术资料输出，承认书归档等；</t>
  </si>
  <si>
    <t xml:space="preserve">设计能力扎实，交付完整，高质量完成了A柜与B柜的整体结构开发设计，方案合理、细节严谨，充分考虑了可制造性、装配性、运输及后期维护需求。按计划完成结构打样，技术资料归档，针对反馈问题快速迭代优化。
</t>
  </si>
  <si>
    <t>EBI125K-R-G2</t>
  </si>
  <si>
    <t>1、完成该项目的整体结构开发设计；
2、完成项目开发阶段5轮样机打样，评审优化等工作；
3、协助完成该项目的结构相关测试验证，及提供外部认证测试相关资料及结构物料；
4、完成结构相关技术资料输出，承认书归档等；</t>
  </si>
  <si>
    <t>设计能力扎实，工作细致、方案合理；多次打样过程中，积极组织跨部门评审，面对反馈问题能快速优化，提出更优方案。同时规范输出技术文档，顺利完成承认书签署与归档。</t>
  </si>
  <si>
    <t>Backup Box</t>
  </si>
  <si>
    <t>1、完成该项目的整体结构开发设计；
2、按要求完成该项目的结构打样，评审优化，提交测试；
3、完成项目后续交接等相关内容；</t>
  </si>
  <si>
    <t>设计能力扎实，方案合理，细节完善；顺利完成该项目首次打样，按计划推进结构打样、评审优化及测试交付，确保关键节点顺利达成；同时主动完成项目后续交接工作，资料齐全、沟通清晰。</t>
  </si>
  <si>
    <t>其他事项</t>
  </si>
  <si>
    <t>1、完成PCS125K-R模块和降本模块的结构维护及工作交接内容；
2、完成系统柜模块拆卸工装的结构设计，打样及承认等相关工作；
3、完成工商业储能CSU模块的结构维护变更等相关工作；</t>
  </si>
  <si>
    <t>高效完成多项结构维护、工装开发及设计变更任务，整体工作完成度较好。</t>
  </si>
  <si>
    <t>积极完成各项工作任务，从不推诿，任务时间有冲突时主动和各负责人沟通达成时间，会合理规划项目优先级及个人时间；出现问题时，也会主动优化设计方案，提升产品性能与可靠性，积极推动项目按时按量达成。</t>
  </si>
  <si>
    <t>工作主动性强、专业能力突出、结果导向明确，在所参与项目中发挥了关键作用。</t>
  </si>
  <si>
    <t>在项目推进中，我始终保持高度的责任意识与协作精神，主动与电气、热管理、NPI、生产等团队紧密沟通，确保结构设计方案高效落地，积极配合解决跨部门技术难题，确保项目进度与质量。</t>
  </si>
  <si>
    <t>面对复杂任务不推诿、不拖延，展现出优秀的团队合作精神和高度的岗位担当。</t>
  </si>
  <si>
    <t>索莹</t>
  </si>
  <si>
    <t>高级结构工程师</t>
  </si>
  <si>
    <t>储能结构经理</t>
  </si>
  <si>
    <t>52串314AH电池包设计</t>
  </si>
  <si>
    <t>1.完成自研52串314AH电池包的设计；
2.完成打样以及研发样机生产跟进组装；
3.完成裸机BOM创建以及物料承认发布达到量产水平；
4.完成振动测试工装，跟进电池包完成 IP测试、热失控测试、振动测试、跌落测试等；</t>
  </si>
  <si>
    <t>超预期提前完成52S液冷PACK的设计、跟进打样、试产、测试等环节，能力出众，配合生产、采购、测试认证顺利完成转量产，业务能力出众，对专业领域有深入见解，独立完成复杂任务。</t>
  </si>
  <si>
    <t>280AH的PACK降本以及优化</t>
  </si>
  <si>
    <t>1.280AH的PACK完成1.2W导热结构胶的温升以及振动导入BOM，单PACK降本200元；
2.验证导入新供应商气凝胶，单PACK降本130元；
3.完成PACK工装的设计打样以及第二供应商对接，成本降幅3万/台；
4.完成PACK包装木箱的设计优化；</t>
  </si>
  <si>
    <t>PACK关键物料降本显著，拉通供应商、采购推动物料降本增效，取得不错成绩。</t>
  </si>
  <si>
    <t>2.0辅电盒设计</t>
  </si>
  <si>
    <t>1.完成2.0辅电盒的设计以及优化；
2.完成打样以及研发样机生产跟进组装；
3.完成裸机BOM创建以及物料承认发布达到量产水平；</t>
  </si>
  <si>
    <t>超预期提前完成2.0辅电盒的设计、跟进打样、试产、测试等环节顺利完成转量产。</t>
  </si>
  <si>
    <t>LTI一体机&amp;高压盒</t>
  </si>
  <si>
    <t>1.完成LTI一体机的结构对接；
2.完成1.0以及1.5高压盒优化设计；</t>
  </si>
  <si>
    <t>顺利完成LTI一体机跟进以及高压盒的设计优化、保障订单及时交付，对接过程积极主动、圆满完成任务。</t>
  </si>
  <si>
    <t>1.积极主动完成领导交代事项，不推脱、不拖沓；
2.积极对接图纸打样、流程处理，保证项目进度；
3.对可能出现的问题点及时拉通，保障顺利生产；</t>
  </si>
  <si>
    <t>工作积极主动、主动承担各项任务，保质保量完成；爱岗敬业，工作扎实认真，责任心强，模范带头作用发挥好，工作经验丰富，敢于碰硬，善于处理复杂问题，工作推进力度大。</t>
  </si>
  <si>
    <t>1.与NPI及生产及时处理生产反馈问题，保证订单生产交付；
2.及时对接品质及供应商处理好来料品质加工等异常；</t>
  </si>
  <si>
    <t>积极主动参与团队协作保障完成多个项目交付；能协调采购、供应商等及时响应样机交付；具备良好的团队合作精神，与团队成员沟通协作良好。</t>
  </si>
  <si>
    <t>姚省军</t>
  </si>
  <si>
    <t>合约期限：由 2025 年1月 1日</t>
  </si>
  <si>
    <t>结构工程师</t>
  </si>
  <si>
    <t>EBI 125K/215K-R PCS模块</t>
  </si>
  <si>
    <t>1、完成针对工厂生产出现的异常问题的结构优化、图纸ECN变更、导入，提高生产效率，更易于物料管理等；2、完成因物料变更或硬件相关的物料变更导致的结构优化、图纸ECN变更、导入</t>
  </si>
  <si>
    <t>此机型主要涉及两款：首航标准款和星云电子款；所有提出结构异常问题已完成优化并关闭，积极配合项目按节点或提前完成，并能提出优化的方案，后续能主动跟进相关流程，如：打样及打样交期，样机组装验证，组织跨部门相关人员会议评审等，直至问题关闭和后续主动关注相关问题</t>
  </si>
  <si>
    <t>EBI 215K-250K  PCS模块</t>
  </si>
  <si>
    <t>在该模块的结构优化工作中，能够精准定位生产异常并输出有效解决方案，ECN变更的导入流程顺畅，为后续生产环节的降本增效奠定了扎实基础，历史遗留问题和生产提出问题已解决关闭，达成了优秀绩效标准。</t>
  </si>
  <si>
    <t>EBI 215K-R(LC) 降本版PCS模块</t>
  </si>
  <si>
    <t>1、完成PCS的结构设计、打样、样机组装、结构问题汇总和改善；2、完成试产，结构图纸（钣金件、线束等）的导入，结构BOM的整理和发布</t>
  </si>
  <si>
    <t>从结构设计、打样到BOM梳理发布，全流程推进高效且质量过硬。在样机组装与问题汇总阶段，展现出极强的细节把控能力；降本设计方案落地成效显著，结构图纸导入规范清晰，整体工作成果远超预期，为项目降本目标的达成提供了核心支撑，表现卓越。</t>
  </si>
  <si>
    <t>EBI 1725K系统柜</t>
  </si>
  <si>
    <t>1、完成针对工厂生产出现的异常问题的结构优化、图纸ECN变更、导入，提高生产效率，更易于物料管理等；2、针对历史遗留问题的结构优化、关闭问题；3、增加下进线的方案，对应增加新配置，修改结构、整理BOM，评审、导入图纸等工作</t>
  </si>
  <si>
    <t>针对遗留问题的结构优化方案具备前瞻性，新增进线方案的设计与图纸导入工作严谨规范，BOM梳理与评审环节高效闭环，有效解决了生产痛点，提升了系统柜的可靠性与可维护性，工作成果具备标杆性，符合优秀绩效要求。</t>
  </si>
  <si>
    <t>625KW2 并离网切换柜</t>
  </si>
  <si>
    <t>1、完成一系列并离网切换柜的排布布局，结构的成本粗略核算，重量和尺寸计算；2、完成前期625K结构的初步方案设计、后期结构机柜和铜排的详细设计、并按项目计划时间节点外发图纸打样，后面持续跟进相关进度，供应商现场跟进打样进度等</t>
  </si>
  <si>
    <t>能按领导指示快速响应，及时按时间节点提出方案，在布局方案设计、成本核算及结构细化环节，具有专业的功底。前期方案设计高效支撑了项目节点推进，目前625KW2相关结构物料已按项目节点安排打样，这期间积极主动驻厂跟进与现场服务保障了打样进度，绩效表现卓越。</t>
  </si>
  <si>
    <t>根据项目计划和时间节点，努力把进度按节点完成和提前，周六日加班赶进度</t>
  </si>
  <si>
    <t>始终以项目目标为核心，主动加班保障节点交付，面对紧迫任务时展现出极强的责任心与执行力，自我驱动意识突出，能够积极预判风险并推动问题解决，敬业精神值得团队全员学习。</t>
  </si>
  <si>
    <t>积极配合项目的安排，积极跨部门沟通</t>
  </si>
  <si>
    <t>跨部门沟通协作高效，主动配合项目整体安排，能快速响应其他部门的协同需求，责任边界清晰且主动补位，为项目团队的高效运转提供了有力支撑，具备优秀的团队协作意识与大局观。</t>
  </si>
  <si>
    <t>张道平</t>
  </si>
  <si>
    <t>合约期限：由 2025 年  1月1 日</t>
  </si>
  <si>
    <t>结构中级工程师岗位</t>
  </si>
  <si>
    <t>power magic 1.5整机结构设计</t>
  </si>
  <si>
    <t>1.在power magic1.0基础上进行整机系统升级，进行power magic1.5整机设计。实现液冷系统并柜效率提升，储能柜、电池柜全部带液运输，现场即插即用，免保压注液，单机维护时长减少4h+。
2.power magic1.5消防系统水消接口后置，提高维护便捷性。主管路取消一个单向阀，单机节省100+元。
3.拉通解决机柜色差、底座生锈等关键问题，建立power magic1.5质量控制要点标准规范文件，提升产品质量。其中底座锈蚀问题临时改制方案组织拉通与供应商多次价格洽谈，改制费用节省10w+。</t>
  </si>
  <si>
    <t>1.超标准达成要求。极大提升维护效率，免现场保压注液，提升产品竞争力，节省安装成本。
2.成本控制优秀，责任意识强。主动拉通周边领域及供应商，极大节省改制成本及产品成本。
3.保障产品顺利交付，满足项目进展要求。大局意识强，工作思路清晰，执行决策部署坚决有力。项目完成度120%。</t>
  </si>
  <si>
    <t>power master消防、液冷升级，箱体结构整体优化</t>
  </si>
  <si>
    <t>1.power master箱体优化升级。箱体配电舱焊接方案改成螺钉固定方案，提升箱体生产效率，改善汇流、浮点箱安装公差。气消防电磁阀下移，管路重新设计；
2.保证捷克Nobility、德国Timeless、匈牙利Videoton项目高质量交付，拉通LTI箱体改制相关工作。
3、8簇集装箱BOM制作，生产文件编写。power master承认书出图及制作等工作。</t>
  </si>
  <si>
    <t>1.保障产品高质量交付，多项目、批次产品达成项目预期。完成带液运输实验室验证，项目实际实验开展中。
2.提升产品质量，改善产品安装公差及DFM。完成箱体版本升级优化，提升生产及维护便捷性。
3.责任心强，积极构建集装箱质量控制标准，保障集装箱高品质交付。项目完成度110%。</t>
  </si>
  <si>
    <t>power magic 2.0消防和液冷模块设计</t>
  </si>
  <si>
    <t>1.power magic2.0消防管路系统设计、打样及小批量生产，相关问题改进及优化。
2.power magic2.0液冷管路系统设计、打样及小批量生产，相关问题改进及优化。</t>
  </si>
  <si>
    <t>1.保障产品高质量交付，多厂家比价，成本控制良好。消防、液冷管路多方案比对，达成DFM和成本综合最优。
2.积极拉通周边领域，保障模块高质量顺利交付。项目完成度100%。</t>
  </si>
  <si>
    <t>《室外机柜通用质量规范》、《产品表面外观缺陷及检测方法定义》等规范编写及发布</t>
  </si>
  <si>
    <t>1.《室外机柜通用质量规范》、《产品表面外观缺陷及检测方法定义》《power magic1.0&amp;1.5质量控制要点》规范编写及发布。
2.拉通供应商及品质相关人员进行规范宣讲，便于后续产品质量及品质管控。</t>
  </si>
  <si>
    <t>1.超预期达成目标。建立室外机柜通用质量要求规范，保障power magic系列及其他产品产品质量。
2.对power magic1.0&amp;1.5产品建立质量防线，充分识别及解决产品质量问题，保障产品高质量交付。项目完成度120%。</t>
  </si>
  <si>
    <t>PCS系统柜木箱包装结构设计</t>
  </si>
  <si>
    <t>1.PCS系统柜木箱设计，外形尺寸2.9m*2.3m*1.1m。BOM发布等相关工作，保障产品顺利交付。</t>
  </si>
  <si>
    <t>1.超预期达成目标。保障产品高质量交付，成本控制合理。达成项目交付预期。项目完成度110%。</t>
  </si>
  <si>
    <t>5.26MW pcs一体机ODM项目</t>
  </si>
  <si>
    <t>1.5.26MW pcs一体机大全ODM项目，结构审查、拉通仿真等相关工作。保障项目顺利进行。</t>
  </si>
  <si>
    <t>1.积极拉通周边领域，保障项目顺利进展。满足项目高质量交付标准。项目完成度100%。</t>
  </si>
  <si>
    <t>1.负责power magic1.5、power master产品保质保量交付，积极管控产品成本。其中power magic1.5消防单机节省100+元，底座返工改制组织拉通与供应商多次价格洽谈，改制费用节省10w+。
2.积极构建power magic、power master产品质量管控体系，累计输出《室外机柜通用质量规范》、《产品表面外观缺陷及检测方法定义》、《power magic1.0&amp;1.5质量控制要点》、《power master质量控制要点》等5pcs+质量规范文件。</t>
  </si>
  <si>
    <t xml:space="preserve">1.积极管控成本。其中power magic1.5消防单机节省100+元，底座返工改制组织拉通与供应商多次价格洽谈，改制费用节省10w+。
2.超预期达成目标。工作积极敬业，业务能力出众，对专业领域有深入见解，独立完成复杂任务。
3.工作扎实认真，责任心强，带头作用发挥好。积极构建power magic、power master产品质量管控体系。
</t>
  </si>
  <si>
    <t>1.积极拉通配合周边相关领域进行产品设计及优化，保障power magic及power master产品项目顺利进行。
2.拉通配合品质、供应商等相关人员处理power magic1.5、power master产品相关质量问题，主动构建power magic、power master产品质量管控体系。</t>
  </si>
  <si>
    <t>1.具备良好的团队合作精神，与团队成员沟通协作良好。
2.工作经验丰富，敢于碰硬，善于处理复杂问题，工作推进力度大。</t>
  </si>
  <si>
    <t>周天敏</t>
  </si>
  <si>
    <t>合约期限：由 2025年 1 月 1日</t>
  </si>
  <si>
    <t>结构中级工程师</t>
  </si>
  <si>
    <t>结构经理</t>
  </si>
  <si>
    <t>至 2026年 1月 1 日</t>
  </si>
  <si>
    <t>PowerMagic 2.0 (261KWh储能柜)
    项目负责整机3D方案输出、2D工程图输出；负责产品配套件输出（如包材、钢制底座、配件包等）；负责产品周边资料输出（如用户手册、维护手册、快速安装手册、土建图、运输、售前开发资料等）。</t>
  </si>
  <si>
    <t xml:space="preserve">1、完成整机3D细节方案搭建、BOM维护、2D图纸PLM归档。
2、完成产品配套件资料工程图输出，BOM维护、2D图纸PLM归档。
3、完成产品周边资料输出，并上传首航云归档。
4、完成2批次参展样机交付；完成2批次4台研发测试样机组装验证，且样机问题点全部关闭。
5、产品通过UN38.3、IP55等级认证。产品状态已完成由EVT转DVT。
</t>
  </si>
  <si>
    <t>1、该项目于2025年8月立项开发，截止此时，项目已完成EVT转阶段；在制批量订单已接400+。
2、项目开发时间短、任务项多。在各预设项目节点，准点保质完成交付文件评审、修改、归档。
3、此期间，积极配合项目组其它同事，完成完整整机搭建和配套件开发；售前所需用户手册、产品信息资料提供；生产制成质量控制要点提供；售后交付资料，安装手册，安装体验等资料提供。</t>
  </si>
  <si>
    <t>PowerMagic 1.0 / PowerMagic 1.5
    项目一负责PowerMagic 1.0 电池柜 (215/258KWh)、配电箱、工商业配套件及周边产品维护。       
    项目二负责PowerMagic 1.5电池柜 (215/258KWh)、配电箱、工商业配套件及周边产品迭代开发。</t>
  </si>
  <si>
    <t>1、参与PowerMagic 1.0 工商业全系产品维护、市场问题点修改维护。完成产品最新工程图档PLM归档。
2、完成PowerMagic 1.5电池柜带液、带配件运输方案迭代开发，3D细节方案搭建、BOM维护、2D图纸PLM归档。
3、完成工商业配套配电箱的迭代开发，针对ZCS和NEOOM客户定制需求开发，3D细节方案搭建、BOM维护、2D图纸PLM归档。
4、完成包材迭代开发（无栈板运输、带栈板运输、钢带木箱方案），3D细节方案搭建、BOM维护、2D图纸PLM归档。
5、完成迭代产品周边资料维护，更新PLM工程图档，相关资料上传首航云。</t>
  </si>
  <si>
    <t>1、PowerMagic 1.0 / PowerMagic 1.5已基于稳定交付市场，已经完成DVT转阶段，制成和交付全部转交后端同事负责。
2、参与PowerMagic 1.0 工商业全系产品维护，解析售后反馈问题点，提供解决方案，处理流程指导，并维护3D/2D。
3、参与PowerMagic 1.5电池柜、配电箱、包材等产品迭代开发，在各预设项目节点，准点保质完成交付文件评审、修改、归档</t>
  </si>
  <si>
    <t>400V 汇流柜（750K/500K/250K）
    项目负责整机3D方案输出、BOM维护、2D工程图输出；周边配套件输出（如包材、钢制底座、配件包等）。</t>
  </si>
  <si>
    <t>1、完成整机兼容6台储能柜、4并、2并整机3D方案的输出，对应不同客户定制BOM维护。
2、完成配套铜排方案3D搭建，不同载流铜排3D/2D图档输出。
3、完成周边配套件资料工程图输出，BOM维护。</t>
  </si>
  <si>
    <t>1、400V汇流柜已经配套工商业稳定交付市场，已经完成DVT转阶段，制成和交付全部转交后端同事负责。
2、完成1个整机适配三种功率段的产品开发，对应不同配置BOM搭建，完成交付文件评审、修改、归档</t>
  </si>
  <si>
    <t>PowerMagic Mini (98KWh一体机)
     项目负责整机3D方案输出、BOM维护；周边配套件输出（如包材、钢制底座、配件包等）。</t>
  </si>
  <si>
    <t>1、完成整机3D细节方案搭建、BOM维护。
2、完成2批次参展样机交付(ZCS、SOFAR）。
3、完成1台研发测试样机组装验证，且样机问题点全部关闭。
4、完成产品周边资料初步输出。</t>
  </si>
  <si>
    <t>1、该项目完成参展样机、研发测试样机的交付，已基本完成转EVT阶段资料交付。应公司战略定位，该项目暂停开发。</t>
  </si>
  <si>
    <t>1、本着尽心、尽力、尽责、尽完美的原则完成本质工作。</t>
  </si>
  <si>
    <t>1、该同事积极配合安排的各项工作事宜，工作认真严谨，均在项目节点前，完成工作任务的评审、修改、归档。
2、工作思路清晰，执行能力强，责任心强；需求必应，交付有质有量。</t>
  </si>
  <si>
    <t>1、积极配合售前、售后、生产、研发进行产品开发、维护、交付。</t>
  </si>
  <si>
    <t>1、具备良好的团队合作精神，与团队成员沟通协作良好。
2、项目交付、过程沟通，均得到售前、售后、生产得好评。
3、大局意识强，敢于担当。</t>
  </si>
  <si>
    <t>杨洵</t>
  </si>
  <si>
    <t>电气经理</t>
  </si>
  <si>
    <t>系统主任工程师</t>
  </si>
  <si>
    <r>
      <rPr>
        <b/>
        <sz val="16"/>
        <color rgb="FF000000"/>
        <rFont val="微软雅黑"/>
        <charset val="134"/>
      </rPr>
      <t xml:space="preserve">重点项目统筹与交付
</t>
    </r>
    <r>
      <rPr>
        <sz val="16"/>
        <color rgb="FF000000"/>
        <rFont val="微软雅黑"/>
        <charset val="134"/>
      </rPr>
      <t xml:space="preserve">
全年统筹并高质量完成以下重点项目的电气设计，作为电气经理全程参与技术方案评审与关键节点把关，确保设计可靠性、可制造性与可维护性：
</t>
    </r>
    <r>
      <rPr>
        <b/>
        <sz val="16"/>
        <color rgb="FF000000"/>
        <rFont val="微软雅黑"/>
        <charset val="134"/>
      </rPr>
      <t>PowerMagic 2.0系统</t>
    </r>
    <r>
      <rPr>
        <sz val="16"/>
        <color rgb="FF000000"/>
        <rFont val="微软雅黑"/>
        <charset val="134"/>
      </rPr>
      <t xml:space="preserve">（主导电气架构设计，器件选型，审核电气图/BOM/用户手册，已有条件通过EVT评审）
</t>
    </r>
    <r>
      <rPr>
        <b/>
        <sz val="16"/>
        <color rgb="FF000000"/>
        <rFont val="微软雅黑"/>
        <charset val="134"/>
      </rPr>
      <t>工商储Backup box及并离网系统柜</t>
    </r>
    <r>
      <rPr>
        <sz val="16"/>
        <color rgb="FF000000"/>
        <rFont val="微软雅黑"/>
        <charset val="134"/>
      </rPr>
      <t xml:space="preserve">（主导电气架构设计，审核一二次电气图纸、并样机组装成功）
</t>
    </r>
    <r>
      <rPr>
        <b/>
        <sz val="16"/>
        <color rgb="FF000000"/>
        <rFont val="微软雅黑"/>
        <charset val="134"/>
      </rPr>
      <t>PCS 2.0系统柜</t>
    </r>
    <r>
      <rPr>
        <sz val="16"/>
        <color rgb="FF000000"/>
        <rFont val="微软雅黑"/>
        <charset val="134"/>
      </rPr>
      <t xml:space="preserve">（主导电气架构设计，审核一二次电气图纸及器件选型，支持样机装配与测试，BOM和图纸已归档）
</t>
    </r>
    <r>
      <rPr>
        <b/>
        <sz val="16"/>
        <color rgb="FF000000"/>
        <rFont val="微软雅黑"/>
        <charset val="134"/>
      </rPr>
      <t>96kWh风冷储能柜</t>
    </r>
    <r>
      <rPr>
        <sz val="16"/>
        <color rgb="FF000000"/>
        <rFont val="微软雅黑"/>
        <charset val="134"/>
      </rPr>
      <t xml:space="preserve">（配合户用储能部门进行系统电气设计，并批量生产）
</t>
    </r>
    <r>
      <rPr>
        <b/>
        <sz val="16"/>
        <color rgb="FF000000"/>
        <rFont val="微软雅黑"/>
        <charset val="134"/>
      </rPr>
      <t>SP5260K-MV-EU变流升压一体机</t>
    </r>
    <r>
      <rPr>
        <sz val="16"/>
        <color rgb="FF000000"/>
        <rFont val="微软雅黑"/>
        <charset val="134"/>
      </rPr>
      <t xml:space="preserve">（主导并审核电气一次系统设计）
</t>
    </r>
    <r>
      <rPr>
        <b/>
        <sz val="16"/>
        <color rgb="FF000000"/>
        <rFont val="微软雅黑"/>
        <charset val="134"/>
      </rPr>
      <t>并离网隔离变压器项目</t>
    </r>
    <r>
      <rPr>
        <sz val="16"/>
        <color rgb="FF000000"/>
        <rFont val="微软雅黑"/>
        <charset val="134"/>
      </rPr>
      <t xml:space="preserve">（整理需求，主导产品开发，输出一二次电气图纸，委外打样成功）
</t>
    </r>
    <r>
      <rPr>
        <b/>
        <sz val="16"/>
        <color rgb="FF000000"/>
        <rFont val="微软雅黑"/>
        <charset val="134"/>
      </rPr>
      <t>PowerMagic 1.5/1.0系统迭代优化及电气降成本</t>
    </r>
    <r>
      <rPr>
        <sz val="16"/>
        <color rgb="FF000000"/>
        <rFont val="微软雅黑"/>
        <charset val="134"/>
      </rPr>
      <t xml:space="preserve">（指导EMC整改及老产品维护，提升系统稳定性及输出电气降低成本方案）
</t>
    </r>
    <r>
      <rPr>
        <b/>
        <sz val="16"/>
        <color rgb="FF000000"/>
        <rFont val="微软雅黑"/>
        <charset val="134"/>
      </rPr>
      <t>PCS 1.0系统柜</t>
    </r>
    <r>
      <rPr>
        <sz val="16"/>
        <color rgb="FF000000"/>
        <rFont val="微软雅黑"/>
        <charset val="134"/>
      </rPr>
      <t>生产问题维护，及</t>
    </r>
    <r>
      <rPr>
        <b/>
        <sz val="16"/>
        <color rgb="FF000000"/>
        <rFont val="微软雅黑"/>
        <charset val="134"/>
      </rPr>
      <t>SP3545-MV-EU&amp;SP7100-MV-EU 14台产品订单项目支持</t>
    </r>
    <r>
      <rPr>
        <sz val="16"/>
        <color rgb="FF000000"/>
        <rFont val="微软雅黑"/>
        <charset val="134"/>
      </rPr>
      <t>（确定技术协议，输出不同项目的一次系统图及审核二次电气图，及产品对外接口及推荐电缆清册等，委外全程技术支持）
所有研发项目均按期交付，样机试产成功率100%，无电气设计缺陷。</t>
    </r>
  </si>
  <si>
    <t>在重点项目统筹与交付方面，我主导并全程技术把关PowerMagic 2.0系统、工商储Backup box及并离网系统柜、PCS 2.0柜、96kWh风冷柜、SP5260K-MV-EU变流升压一体机、隔离变压器及PowerMagic 1.5/1.0及电气降成本产品迭代、PCS 1.0系统柜生产问题维护，及SP3545-MV-EU&amp;SP7100-MV-EU 14台产品订单项目支持等13项重点电气设计，所有研发项目均按期交付，样机试产成功率100%，无电气设计缺陷。</t>
  </si>
  <si>
    <t>承担了项目设计过程中主要电气评审工作</t>
  </si>
  <si>
    <r>
      <rPr>
        <b/>
        <sz val="16"/>
        <color rgb="FF000000"/>
        <rFont val="微软雅黑"/>
        <charset val="134"/>
      </rPr>
      <t xml:space="preserve">技术标准与流程建设
</t>
    </r>
    <r>
      <rPr>
        <sz val="16"/>
        <color rgb="FF000000"/>
        <rFont val="微软雅黑"/>
        <charset val="134"/>
      </rPr>
      <t xml:space="preserve">
推动</t>
    </r>
    <r>
      <rPr>
        <b/>
        <sz val="16"/>
        <color rgb="FF000000"/>
        <rFont val="微软雅黑"/>
        <charset val="134"/>
      </rPr>
      <t>电气设计标准化</t>
    </r>
    <r>
      <rPr>
        <sz val="16"/>
        <color rgb="FF000000"/>
        <rFont val="微软雅黑"/>
        <charset val="134"/>
      </rPr>
      <t>落地，统标准品一次/二次电气图的命名及图纸内容规范、</t>
    </r>
    <r>
      <rPr>
        <b/>
        <sz val="16"/>
        <color rgb="FF000000"/>
        <rFont val="微软雅黑"/>
        <charset val="134"/>
      </rPr>
      <t>变流升压一体机技术协议</t>
    </r>
    <r>
      <rPr>
        <sz val="16"/>
        <color rgb="FF000000"/>
        <rFont val="微软雅黑"/>
        <charset val="134"/>
      </rPr>
      <t>格式及物料申请流程和BOM的架构；推动并整理</t>
    </r>
    <r>
      <rPr>
        <b/>
        <sz val="16"/>
        <color rgb="FF000000"/>
        <rFont val="微软雅黑"/>
        <charset val="134"/>
      </rPr>
      <t>储能系统绝缘，耐压及电气间隙和爬电距离的公司规范</t>
    </r>
    <r>
      <rPr>
        <sz val="16"/>
        <color rgb="FF000000"/>
        <rFont val="微软雅黑"/>
        <charset val="134"/>
      </rPr>
      <t>；建立“设计-校对-审核”三级质量控制机制，</t>
    </r>
    <r>
      <rPr>
        <b/>
        <sz val="16"/>
        <color rgb="FF000000"/>
        <rFont val="微软雅黑"/>
        <charset val="134"/>
      </rPr>
      <t>由电气经理担任最终技术审核人</t>
    </r>
    <r>
      <rPr>
        <sz val="16"/>
        <color rgb="FF000000"/>
        <rFont val="微软雅黑"/>
        <charset val="134"/>
      </rPr>
      <t>，团队图纸差错率下降30%以上；组织编制电气元器件符号库，提升设计复用率。全年图纸一次性通过率达95%以上。</t>
    </r>
  </si>
  <si>
    <t>在技术标准与流程建设方面，推动电气设计标准化落地，建立“设计-校对-审核”三级机制（本人担任终审），图纸一次性通过率达95%以上，差错率同比下降30%，显著提升电气图纸输出质量与图纸复用效率。推动储能系统电气安规规范，</t>
  </si>
  <si>
    <t>组织了电气技术文档</t>
  </si>
  <si>
    <r>
      <rPr>
        <b/>
        <sz val="16"/>
        <color rgb="FF000000"/>
        <rFont val="微软雅黑"/>
        <charset val="134"/>
      </rPr>
      <t xml:space="preserve">项目进度与资源协调
</t>
    </r>
    <r>
      <rPr>
        <sz val="16"/>
        <color rgb="FF000000"/>
        <rFont val="微软雅黑"/>
        <charset val="134"/>
      </rPr>
      <t xml:space="preserve">
紧密配合项目经理（PM），</t>
    </r>
    <r>
      <rPr>
        <b/>
        <sz val="16"/>
        <color rgb="FF000000"/>
        <rFont val="微软雅黑"/>
        <charset val="134"/>
      </rPr>
      <t>根据项目优先级与工程师能力动态分配任务</t>
    </r>
    <r>
      <rPr>
        <sz val="16"/>
        <color rgb="FF000000"/>
        <rFont val="微软雅黑"/>
        <charset val="134"/>
      </rPr>
      <t>：安排李晓辉聚焦工商业储能系统相关设计与维护工作，王添富承担交流侧PCS系统柜及部分变流升压一体机的一次设计，范浩彬在交直流产品中资源切换（比如并离网柜，PCS系统柜，风冷系统柜等）。通过双周计划对齐、关键节点预警及阻塞问题快速升级机制，在保障技术质量前提下高效推进进度，全年无因电气侧原因导致项目延期。</t>
    </r>
  </si>
  <si>
    <t>在项目进度与资源协调方面，紧密配合项目经理（PM），根据成员专长合理分工，通过双周计划跟踪与关键节点预警，在保障技术质量前提下高效推进多项目并行，全年无延期。</t>
  </si>
  <si>
    <t>对团队内部项目做了有效支撑</t>
  </si>
  <si>
    <r>
      <rPr>
        <b/>
        <sz val="16"/>
        <color rgb="FF000000"/>
        <rFont val="微软雅黑"/>
        <charset val="134"/>
      </rPr>
      <t>跨部门协作与支持</t>
    </r>
    <r>
      <rPr>
        <sz val="16"/>
        <color rgb="FF000000"/>
        <rFont val="微软雅黑"/>
        <charset val="134"/>
      </rPr>
      <t xml:space="preserve">
</t>
    </r>
    <r>
      <rPr>
        <b/>
        <sz val="16"/>
        <color rgb="FF000000"/>
        <rFont val="微软雅黑"/>
        <charset val="134"/>
      </rPr>
      <t>供应链支持：</t>
    </r>
    <r>
      <rPr>
        <sz val="16"/>
        <color rgb="FF000000"/>
        <rFont val="微软雅黑"/>
        <charset val="134"/>
      </rPr>
      <t xml:space="preserve">完成3家变流升压一体机四家供方技术对接，由电气经理主导接口定义与样品技术验证（1家已引入，3家技术评估完成，商务合作暂停）；
</t>
    </r>
    <r>
      <rPr>
        <b/>
        <sz val="16"/>
        <color rgb="FF000000"/>
        <rFont val="微软雅黑"/>
        <charset val="134"/>
      </rPr>
      <t>售前售后大项目支持：</t>
    </r>
    <r>
      <rPr>
        <sz val="16"/>
        <color rgb="FF000000"/>
        <rFont val="微软雅黑"/>
        <charset val="134"/>
      </rPr>
      <t xml:space="preserve">协助处理不少于12个售前技术电气方案支持和报价，以及客户现场问题（如EMC干扰、接线异常、通讯故障），提供权威技术判断与整改方案，快速闭环；
</t>
    </r>
    <r>
      <rPr>
        <b/>
        <sz val="16"/>
        <color rgb="FF000000"/>
        <rFont val="微软雅黑"/>
        <charset val="134"/>
      </rPr>
      <t>生产协助：</t>
    </r>
    <r>
      <rPr>
        <sz val="16"/>
        <color rgb="FF000000"/>
        <rFont val="微软雅黑"/>
        <charset val="134"/>
      </rPr>
      <t>积极配合生产解决试产阶段电气装配、线束连接、元器件替代等问题，现场确认关键工艺可行性，减少产线停顿。</t>
    </r>
  </si>
  <si>
    <t>在跨部门协作与支持方面，为供应连完成4家新供方技术对接，为售前售后提供不少于12个重大项目支持，并积极协助生产解决试产装配难题，有效支撑全链条高效运转。</t>
  </si>
  <si>
    <t>今年售后现场电源模块问题、线缆问题、端子问题、继电器问题，进行了部分售后支持</t>
  </si>
  <si>
    <t>全年保持高度责任心与投入度，主动跟进重点项目关键节点，在PowerMagic 2.0、PCS 2.0及变流升压一体机产品等攻坚阶段加班加点保障开发进度；积极推动技术改进与流程优化，持续提升团队专业能力。面对多项目并行压力，始终保持积极心态，以身作则带动团队高效运转。</t>
  </si>
  <si>
    <t>在跨部门协作中主动沟通、勇于担责，积极配合结构、工艺、测试、生产及售后团队，提前介入需求讨论，减少后期变更；在团队内部营造开放、互助氛围，定期组织技术交流，促进知识共享。对下属工作成果严格把关，对交付结果负责到底，全年无推诿、无重大协作障碍。</t>
  </si>
  <si>
    <t>李晓辉</t>
  </si>
  <si>
    <t>电气高级工程师</t>
  </si>
  <si>
    <t>电气部经理</t>
  </si>
  <si>
    <t>PowerMagic 2.0项目(261kWh)
  完成工商业储能系统2.0电气开发工作，主要包括电气方案设计，样机打样验证，电气图纸设计，整机BOM整理归档，电气相关文档编制，电气评审及问题闭环，生产以及测试问题定位闭环，系统认证事项跟踪处理等。</t>
  </si>
  <si>
    <t>1、完成了工商业储能系统2.0电气方案设计含电气一二次原理图设计；
2、完成了工商业储能系统2.0研发样机、展会样机备料，线束打样以及样机装配，并就试装问题优化闭环；
3、完成了工商业储能系统2.0整机BOM整理归档，接线图以及线束图纸设计，便于后续正式订单快速备货生产；
4、完成了工商业储能系统2.0用户手册、维护手册、快装手册、产测方案、电气详细设计方案等文档编制；
5、项目各阶段测试问题及时定位闭环，系统认证以及EMC测试相关事项跟踪处理，项目开展阶段积极配合项目组处理各类电气相关事务；
6、目前工商业储能系统2.0已顺利通过EVT评审，即将进入小批量试制以及DVT评审，满足批量发货要求。</t>
  </si>
  <si>
    <t>目前能独立进行工商业储能系统的电气设计，以及相关文档和相应问题的闭环。</t>
  </si>
  <si>
    <t xml:space="preserve">PowerMagic 1.5项目
  基于1.0项目完成工商业储能系统1.5电气迭代开发工作，主要包括电气方案设计，电气图纸设计，电气相关文档编制，整机BOM整理归档，生产以及测试问题定位闭环，售前技术支持沟通，售后问题定位处理，项目其他电气相关事项处理。
  基于1.0项目完成了离网快赢电气方案设计以及样机打样验证，测试问题定位闭环。
</t>
  </si>
  <si>
    <t>1、完成了工商业储能系统1.5电气方案优化升级设计含电气一二次原理图设计；
2、完成了工商业储能系统1.5整机BOM整理归档，接线图以及线束图纸设计，便于后续正式订单快速备货生产；
3、完成了工商业储能系统1.5用户手册、维护手册、快装手册、产测方案、电气详细设计方案等文档编制；
4、参与售前客户疑问以及技术问题沟通答复，参与售后现场问题定位处理，相关问题及时闭环；
5、针对neoom客户定制需求方案，顺利通过客户验收；
6、基于1.0项目完成了离网快赢电气方案设计以及样机打样验证，测试问题跟踪处理及时闭环；
7、目前工商业储能系统1.5项目已批量发货，客户现场稳定运行。</t>
  </si>
  <si>
    <t>基于1.0工商储能的应用情况，能优化1.0版本在使用过程中出现的问题，迅速迭代成为1.5版本，积极响应售前&amp;售后甚至客户新的需求，对紧急开发项目能调整状态投入。</t>
  </si>
  <si>
    <t>PowerMagic 1.0项目
  完成工商业储能系统1.0电气优化维护工作，主要包括生产问题优化，电气图纸以及电气类文档优化，售前技术支持沟通，售后问题定位处理，项目其他电气相关事项处理。
完成了汇流柜电气优化维护工作，主要包括基于客户相关需求电气方案优化升级，售前技术支持，售后问题处理闭环等。</t>
  </si>
  <si>
    <t xml:space="preserve">1、完成工商业储能系统1.0电气优化维护工作，主要包括生产问题优化，电气图纸以及电气类文档优化，售前技术支持沟通，售后问题定位处理，项目其他各类电气相关事项处理；
2、完成了汇流柜电气优化维护工作，主要包括基于客户相关需求电气方案优化升级，售前技术支持，售后问题处理闭环；
3、目前工商业储能系统1.0项目已批量发货，客户现场稳定运行。
</t>
  </si>
  <si>
    <t>在1.0工商储能的应用过程中，能快速处理问题点并闭环，能对售前提供技术支持。</t>
  </si>
  <si>
    <t>电气部门其他事项协助处理</t>
  </si>
  <si>
    <t>1、完成了领导交代的其他项目事项：集装箱储能生产问题协助处理，售后问题协助处理，高压盒产品升级优化协助处理等；
2、OA、TC流程类工作协助处理；
3、参与部门内图纸审核评审。</t>
  </si>
  <si>
    <t>在工商储能产品之外的领域，能以积极的心态介入，提升整个储能系统的方案能力。参与部门图纸审核，为把控团队图纸错误率起到了积极作用。</t>
  </si>
  <si>
    <t xml:space="preserve">  本人工作积极敬业，保质保量完成工商业储能各类项目开发电气相关工作，生产以及售后相关问题及时处理闭环，完成了工商业储能系统1.0/1.5批量交付，同时工商业储能系统2.0也具备了批量发货条件。</t>
  </si>
  <si>
    <t>工作积极性高，任务分配下去能快速执行。</t>
  </si>
  <si>
    <t xml:space="preserve">  本人具备较强的部门内部以及部门间协作配合能力，项目开展期间能够积极协调配合各领域同事完成各类开发、测试、售后、认证、生产等工作；具备较强的责任意识，能够及时闭环各类问题，及时完善优化产品性能功能，能够保质保量完成项目各节点相关电气工作。</t>
  </si>
  <si>
    <t>积极参与外部门协作，有责任感</t>
  </si>
  <si>
    <t>王添富</t>
  </si>
  <si>
    <t>电气中级工程师</t>
  </si>
  <si>
    <t>PCS 2580K系统柜设计</t>
  </si>
  <si>
    <t>完成电气一次、二次图，接线图、线束图设计；完成器件选型，物料申请；完成样机安装；协助完成认证资料收集和用户手册编制</t>
  </si>
  <si>
    <t>争取能独立设计系统方案</t>
  </si>
  <si>
    <t>（2/4/6并共六款）汇流柜设计</t>
  </si>
  <si>
    <t>系统方案确定情况下能积极处理其他相关业务</t>
  </si>
  <si>
    <t>隔离变压器（125kVA）系统柜设计</t>
  </si>
  <si>
    <t>沟通技术需求，完成一次、二次图纸沟通以及审核，完成技术协议编制和评审，完成设备验收和资料收集</t>
  </si>
  <si>
    <t>争取能独立设计系统方案，多了解变压器相关</t>
  </si>
  <si>
    <t>SP5260K-MV-EU变流升压一体机设计</t>
  </si>
  <si>
    <t>完成电气一次设计，二次图，接线图审核；完成技术协议编制和评审</t>
  </si>
  <si>
    <t>SP3545K-MV-EU/SP7100K-MV-EU变流升压一体机项目设计沟通跟进</t>
  </si>
  <si>
    <t>完成每个项目的电气一次设计，二次图，接线图、基础图、外形图审核；完成技术协议编制和评审，项目资料的沟通收集和归档</t>
  </si>
  <si>
    <t>能在带领下积极做好维护工作</t>
  </si>
  <si>
    <t>跟进项目的进展，及时追赶项目进度</t>
  </si>
  <si>
    <t>积极性有待提高，有问题及时反馈</t>
  </si>
  <si>
    <t>积极配合相邻专业，及时提供售后技术支持，主动承认相应责任</t>
  </si>
  <si>
    <t>能积极参与跨部门协作</t>
  </si>
  <si>
    <t>范浩彬</t>
  </si>
  <si>
    <t>电气初级工程师</t>
  </si>
  <si>
    <t>工商储Backup box电气设计</t>
  </si>
  <si>
    <t>图纸产出完整，内容详实细致，部门对接融洽，试产打样顺利</t>
  </si>
  <si>
    <t>能按照图纸规范，独立完成二次设计</t>
  </si>
  <si>
    <t>PCS2.0系统柜电气设计</t>
  </si>
  <si>
    <t>图纸产出完整，内容详实细致，部门对接融洽，试产打样顺利，后续维护较少</t>
  </si>
  <si>
    <t>96kWh风冷柜电气设计</t>
  </si>
  <si>
    <t>图纸产出完整，试产打样顺利，后续改错较少</t>
  </si>
  <si>
    <t>工商储并离网柜电气设计</t>
  </si>
  <si>
    <t>图纸产出完整，内容详实细致，部门对接融洽，顺利推进试产</t>
  </si>
  <si>
    <t>按时完成分配工作，理解支持团队决策，致力促进公司发展</t>
  </si>
  <si>
    <t>能积极承接任务，根据任务安排加班</t>
  </si>
  <si>
    <t>团队合作顺利紧密，个人工作保质保量</t>
  </si>
  <si>
    <t>能积极配合外部门展开业务，有责任意识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</si>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</sst>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33">
    <font>
      <sz val="11"/>
      <color theme="1"/>
      <name val="宋体"/>
      <charset val="134"/>
      <scheme val="minor"/>
    </font>
    <font>
      <sz val="12"/>
      <name val="微软雅黑"/>
      <charset val="134"/>
    </font>
    <font>
      <b/>
      <sz val="20"/>
      <color rgb="FFFFFFFF"/>
      <name val="微软雅黑"/>
      <charset val="134"/>
    </font>
    <font>
      <sz val="16"/>
      <color rgb="FF000000"/>
      <name val="微软雅黑"/>
      <charset val="134"/>
    </font>
    <font>
      <sz val="16"/>
      <name val="微软雅黑"/>
      <charset val="134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sz val="16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6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A70D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5"/>
      </left>
      <right/>
      <top style="thin">
        <color theme="0" tint="-0.25"/>
      </top>
      <bottom/>
      <diagonal/>
    </border>
    <border>
      <left/>
      <right/>
      <top style="thin">
        <color theme="0" tint="-0.25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/>
      <right/>
      <top/>
      <bottom style="thin">
        <color theme="0" tint="-0.25"/>
      </bottom>
      <diagonal/>
    </border>
    <border>
      <left/>
      <right style="thin">
        <color theme="0" tint="-0.25"/>
      </right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5" applyNumberFormat="0" applyAlignment="0" applyProtection="0">
      <alignment vertical="center"/>
    </xf>
    <xf numFmtId="0" fontId="23" fillId="9" borderId="26" applyNumberFormat="0" applyAlignment="0" applyProtection="0">
      <alignment vertical="center"/>
    </xf>
    <xf numFmtId="0" fontId="24" fillId="9" borderId="25" applyNumberFormat="0" applyAlignment="0" applyProtection="0">
      <alignment vertical="center"/>
    </xf>
    <xf numFmtId="0" fontId="25" fillId="10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right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right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horizontal="center" vertical="center" wrapText="1" readingOrder="1"/>
    </xf>
    <xf numFmtId="0" fontId="6" fillId="4" borderId="8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9" fontId="3" fillId="2" borderId="11" xfId="0" applyNumberFormat="1" applyFont="1" applyFill="1" applyBorder="1" applyAlignment="1">
      <alignment horizontal="center" vertical="center" wrapText="1" readingOrder="1"/>
    </xf>
    <xf numFmtId="9" fontId="3" fillId="2" borderId="10" xfId="0" applyNumberFormat="1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176" fontId="3" fillId="2" borderId="7" xfId="0" applyNumberFormat="1" applyFont="1" applyFill="1" applyBorder="1" applyAlignment="1">
      <alignment horizontal="center" vertical="center" wrapText="1" readingOrder="1"/>
    </xf>
    <xf numFmtId="176" fontId="3" fillId="2" borderId="8" xfId="0" applyNumberFormat="1" applyFont="1" applyFill="1" applyBorder="1" applyAlignment="1">
      <alignment horizontal="center" vertical="center" wrapText="1" readingOrder="1"/>
    </xf>
    <xf numFmtId="176" fontId="3" fillId="2" borderId="9" xfId="0" applyNumberFormat="1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vertical="center" wrapText="1" readingOrder="1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9" xfId="0" applyFont="1" applyFill="1" applyBorder="1" applyAlignment="1">
      <alignment horizontal="center" vertical="center" wrapText="1" readingOrder="1"/>
    </xf>
    <xf numFmtId="14" fontId="4" fillId="0" borderId="10" xfId="0" applyNumberFormat="1" applyFont="1" applyBorder="1" applyAlignment="1">
      <alignment horizontal="left" vertical="center" wrapText="1"/>
    </xf>
    <xf numFmtId="9" fontId="3" fillId="2" borderId="12" xfId="0" applyNumberFormat="1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9" fontId="3" fillId="2" borderId="9" xfId="0" applyNumberFormat="1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9" fontId="8" fillId="3" borderId="10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distributed"/>
    </xf>
    <xf numFmtId="0" fontId="5" fillId="0" borderId="0" xfId="0" applyFont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left"/>
    </xf>
    <xf numFmtId="0" fontId="7" fillId="0" borderId="0" xfId="0" applyFont="1" applyAlignment="1"/>
    <xf numFmtId="0" fontId="3" fillId="2" borderId="9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left" vertical="top" wrapText="1" readingOrder="1"/>
    </xf>
    <xf numFmtId="0" fontId="3" fillId="2" borderId="9" xfId="0" applyFont="1" applyFill="1" applyBorder="1" applyAlignment="1">
      <alignment horizontal="left" vertical="top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14" fontId="4" fillId="0" borderId="7" xfId="0" applyNumberFormat="1" applyFont="1" applyBorder="1" applyAlignment="1">
      <alignment horizontal="left" vertical="center" wrapText="1"/>
    </xf>
    <xf numFmtId="14" fontId="4" fillId="0" borderId="9" xfId="0" applyNumberFormat="1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left" vertical="center" wrapText="1" readingOrder="1"/>
    </xf>
    <xf numFmtId="14" fontId="7" fillId="0" borderId="10" xfId="0" applyNumberFormat="1" applyFont="1" applyBorder="1" applyAlignment="1">
      <alignment horizontal="left" vertical="center" wrapText="1"/>
    </xf>
    <xf numFmtId="14" fontId="7" fillId="0" borderId="7" xfId="0" applyNumberFormat="1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 readingOrder="1"/>
    </xf>
    <xf numFmtId="0" fontId="2" fillId="3" borderId="1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 readingOrder="1"/>
    </xf>
    <xf numFmtId="0" fontId="3" fillId="0" borderId="5" xfId="0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center" vertical="center" wrapText="1" readingOrder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 readingOrder="1"/>
    </xf>
    <xf numFmtId="0" fontId="3" fillId="0" borderId="9" xfId="0" applyFont="1" applyFill="1" applyBorder="1" applyAlignment="1">
      <alignment horizontal="center" vertical="center" wrapText="1" readingOrder="1"/>
    </xf>
    <xf numFmtId="0" fontId="3" fillId="0" borderId="8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5" fillId="5" borderId="8" xfId="0" applyFont="1" applyFill="1" applyBorder="1" applyAlignment="1">
      <alignment horizontal="center" vertical="center" wrapText="1" readingOrder="1"/>
    </xf>
    <xf numFmtId="0" fontId="5" fillId="5" borderId="9" xfId="0" applyFont="1" applyFill="1" applyBorder="1" applyAlignment="1">
      <alignment horizontal="center" vertical="center" wrapText="1" readingOrder="1"/>
    </xf>
    <xf numFmtId="0" fontId="5" fillId="5" borderId="10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5" borderId="9" xfId="0" applyFont="1" applyFill="1" applyBorder="1" applyAlignment="1">
      <alignment horizontal="center" vertical="center" wrapText="1" readingOrder="1"/>
    </xf>
    <xf numFmtId="0" fontId="6" fillId="5" borderId="10" xfId="0" applyFont="1" applyFill="1" applyBorder="1" applyAlignment="1">
      <alignment horizontal="center" vertical="center" wrapText="1" readingOrder="1"/>
    </xf>
    <xf numFmtId="0" fontId="7" fillId="2" borderId="16" xfId="0" applyFont="1" applyFill="1" applyBorder="1" applyAlignment="1">
      <alignment horizontal="center" vertical="center" wrapText="1" readingOrder="1"/>
    </xf>
    <xf numFmtId="0" fontId="7" fillId="2" borderId="13" xfId="0" applyFont="1" applyFill="1" applyBorder="1" applyAlignment="1">
      <alignment horizontal="center" vertical="center" wrapText="1" readingOrder="1"/>
    </xf>
    <xf numFmtId="0" fontId="7" fillId="2" borderId="17" xfId="0" applyFont="1" applyFill="1" applyBorder="1" applyAlignment="1">
      <alignment horizontal="center" vertical="center" wrapText="1" readingOrder="1"/>
    </xf>
    <xf numFmtId="0" fontId="8" fillId="3" borderId="7" xfId="0" applyNumberFormat="1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 readingOrder="1"/>
    </xf>
    <xf numFmtId="0" fontId="5" fillId="0" borderId="1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 readingOrder="1"/>
    </xf>
    <xf numFmtId="0" fontId="3" fillId="0" borderId="10" xfId="0" applyFont="1" applyFill="1" applyBorder="1" applyAlignment="1">
      <alignment horizontal="center" vertical="center" wrapText="1" readingOrder="1"/>
    </xf>
    <xf numFmtId="14" fontId="4" fillId="0" borderId="10" xfId="0" applyNumberFormat="1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 readingOrder="1"/>
    </xf>
    <xf numFmtId="0" fontId="3" fillId="2" borderId="10" xfId="0" applyFont="1" applyFill="1" applyBorder="1" applyAlignment="1">
      <alignment horizontal="left" vertical="top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14" fontId="4" fillId="0" borderId="7" xfId="0" applyNumberFormat="1" applyFont="1" applyBorder="1" applyAlignment="1">
      <alignment horizontal="left" vertical="top" wrapText="1"/>
    </xf>
    <xf numFmtId="14" fontId="4" fillId="0" borderId="9" xfId="0" applyNumberFormat="1" applyFont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31" fontId="4" fillId="0" borderId="13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9" fontId="3" fillId="2" borderId="11" xfId="0" applyNumberFormat="1" applyFont="1" applyFill="1" applyBorder="1" applyAlignment="1">
      <alignment horizontal="left" vertical="center" wrapText="1" readingOrder="1"/>
    </xf>
    <xf numFmtId="9" fontId="3" fillId="2" borderId="10" xfId="0" applyNumberFormat="1" applyFont="1" applyFill="1" applyBorder="1" applyAlignment="1">
      <alignment horizontal="left" vertical="center" wrapText="1" readingOrder="1"/>
    </xf>
    <xf numFmtId="9" fontId="3" fillId="2" borderId="10" xfId="0" applyNumberFormat="1" applyFont="1" applyFill="1" applyBorder="1" applyAlignment="1" applyProtection="1">
      <alignment horizontal="center" vertical="center" wrapText="1" readingOrder="1"/>
    </xf>
    <xf numFmtId="14" fontId="4" fillId="0" borderId="13" xfId="0" applyNumberFormat="1" applyFont="1" applyBorder="1" applyAlignment="1">
      <alignment horizontal="left"/>
    </xf>
    <xf numFmtId="0" fontId="3" fillId="2" borderId="10" xfId="0" applyFont="1" applyFill="1" applyBorder="1" applyAlignment="1">
      <alignment vertical="center" wrapText="1" readingOrder="1"/>
    </xf>
    <xf numFmtId="0" fontId="3" fillId="2" borderId="7" xfId="0" applyFont="1" applyFill="1" applyBorder="1" applyAlignment="1">
      <alignment vertical="center" wrapText="1" readingOrder="1"/>
    </xf>
    <xf numFmtId="177" fontId="4" fillId="0" borderId="0" xfId="0" applyNumberFormat="1" applyFont="1" applyAlignment="1">
      <alignment horizontal="left"/>
    </xf>
    <xf numFmtId="177" fontId="4" fillId="0" borderId="0" xfId="0" applyNumberFormat="1" applyFont="1" applyAlignment="1"/>
    <xf numFmtId="0" fontId="9" fillId="2" borderId="7" xfId="0" applyFont="1" applyFill="1" applyBorder="1" applyAlignment="1">
      <alignment horizontal="left" vertical="center" wrapText="1" readingOrder="1"/>
    </xf>
    <xf numFmtId="0" fontId="10" fillId="0" borderId="0" xfId="0" applyFont="1">
      <alignment vertical="center"/>
    </xf>
    <xf numFmtId="0" fontId="11" fillId="6" borderId="18" xfId="0" applyFont="1" applyFill="1" applyBorder="1" applyAlignment="1">
      <alignment horizontal="center" vertical="center"/>
    </xf>
    <xf numFmtId="9" fontId="11" fillId="6" borderId="18" xfId="0" applyNumberFormat="1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9" fontId="10" fillId="0" borderId="18" xfId="3" applyNumberFormat="1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FC7CD"/>
      <color rgb="003A70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showGridLines="0" topLeftCell="A5" workbookViewId="0">
      <selection activeCell="C14" sqref="C14"/>
    </sheetView>
  </sheetViews>
  <sheetFormatPr defaultColWidth="8.89166666666667" defaultRowHeight="16.5" outlineLevelRow="5" outlineLevelCol="3"/>
  <cols>
    <col min="1" max="1" width="8.89166666666667" style="133"/>
    <col min="2" max="2" width="27.225" style="133" customWidth="1"/>
    <col min="3" max="3" width="65" style="133" customWidth="1"/>
    <col min="4" max="4" width="15.8916666666667" style="133" customWidth="1"/>
    <col min="5" max="16384" width="8.89166666666667" style="133"/>
  </cols>
  <sheetData>
    <row r="2" spans="2:4">
      <c r="B2" s="134" t="s">
        <v>0</v>
      </c>
      <c r="C2" s="134" t="s">
        <v>1</v>
      </c>
      <c r="D2" s="134" t="s">
        <v>2</v>
      </c>
    </row>
    <row r="3" ht="33" spans="2:4">
      <c r="B3" s="135" t="s">
        <v>3</v>
      </c>
      <c r="C3" s="136" t="s">
        <v>4</v>
      </c>
      <c r="D3" s="135" t="s">
        <v>5</v>
      </c>
    </row>
    <row r="4" ht="33" spans="2:4">
      <c r="B4" s="135" t="s">
        <v>6</v>
      </c>
      <c r="C4" s="136" t="s">
        <v>7</v>
      </c>
      <c r="D4" s="135" t="s">
        <v>8</v>
      </c>
    </row>
    <row r="5" ht="130" customHeight="1" spans="2:4">
      <c r="B5" s="137" t="s">
        <v>9</v>
      </c>
      <c r="C5" s="138"/>
      <c r="D5" s="139"/>
    </row>
    <row r="6" ht="192" customHeight="1" spans="2:4">
      <c r="B6" s="140" t="s">
        <v>10</v>
      </c>
      <c r="C6" s="141"/>
      <c r="D6" s="141"/>
    </row>
  </sheetData>
  <mergeCells count="2">
    <mergeCell ref="B5:D5"/>
    <mergeCell ref="B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zoomScale="85" zoomScaleNormal="85" workbookViewId="0">
      <pane ySplit="1" topLeftCell="A2" activePane="bottomLeft" state="frozen"/>
      <selection/>
      <selection pane="bottomLeft" activeCell="M23" sqref="M23"/>
    </sheetView>
  </sheetViews>
  <sheetFormatPr defaultColWidth="8.89166666666667" defaultRowHeight="16.5" outlineLevelRow="7" outlineLevelCol="5"/>
  <cols>
    <col min="1" max="1" width="17.5583333333333" style="125" customWidth="1"/>
    <col min="2" max="2" width="23.1083333333333" style="125" customWidth="1"/>
    <col min="3" max="3" width="15.1083333333333" style="125" customWidth="1"/>
    <col min="4" max="4" width="23.8916666666667" style="125" customWidth="1"/>
    <col min="5" max="5" width="14.1083333333333" style="125" customWidth="1"/>
    <col min="6" max="6" width="10.1083333333333" style="125"/>
    <col min="7" max="16384" width="8.89166666666667" style="125"/>
  </cols>
  <sheetData>
    <row r="1" spans="1:6">
      <c r="A1" s="126" t="s">
        <v>11</v>
      </c>
      <c r="B1" s="126" t="s">
        <v>12</v>
      </c>
      <c r="C1" s="127" t="s">
        <v>13</v>
      </c>
      <c r="D1" s="127" t="s">
        <v>14</v>
      </c>
      <c r="E1" s="126" t="s">
        <v>15</v>
      </c>
      <c r="F1" s="126" t="s">
        <v>16</v>
      </c>
    </row>
    <row r="2" spans="1:6">
      <c r="A2" s="128" t="s">
        <v>17</v>
      </c>
      <c r="B2" s="129" t="s">
        <v>18</v>
      </c>
      <c r="C2" s="130" t="s">
        <v>19</v>
      </c>
      <c r="D2" s="128">
        <v>0</v>
      </c>
      <c r="E2" s="131">
        <v>0.75</v>
      </c>
      <c r="F2" s="128">
        <f t="shared" ref="F2:F8" si="0">IF(E2&lt;80%,0,IF(E2&lt;110%,60+(E2-80%)*100*2,120))</f>
        <v>0</v>
      </c>
    </row>
    <row r="3" spans="1:6">
      <c r="A3" s="128"/>
      <c r="B3" s="129"/>
      <c r="C3" s="130" t="s">
        <v>20</v>
      </c>
      <c r="D3" s="128" t="s">
        <v>21</v>
      </c>
      <c r="E3" s="131">
        <v>1.05</v>
      </c>
      <c r="F3" s="128">
        <f t="shared" si="0"/>
        <v>110</v>
      </c>
    </row>
    <row r="4" spans="1:6">
      <c r="A4" s="128"/>
      <c r="B4" s="129"/>
      <c r="C4" s="128" t="s">
        <v>22</v>
      </c>
      <c r="D4" s="128">
        <v>120</v>
      </c>
      <c r="E4" s="131">
        <v>1.11</v>
      </c>
      <c r="F4" s="128">
        <f t="shared" si="0"/>
        <v>120</v>
      </c>
    </row>
    <row r="5" spans="1:6">
      <c r="A5" s="128" t="s">
        <v>23</v>
      </c>
      <c r="B5" s="129" t="s">
        <v>24</v>
      </c>
      <c r="C5" s="130" t="s">
        <v>19</v>
      </c>
      <c r="D5" s="128">
        <v>0</v>
      </c>
      <c r="E5" s="131">
        <v>0.6</v>
      </c>
      <c r="F5" s="128">
        <f t="shared" si="0"/>
        <v>0</v>
      </c>
    </row>
    <row r="6" spans="1:6">
      <c r="A6" s="128"/>
      <c r="B6" s="129"/>
      <c r="C6" s="130" t="s">
        <v>20</v>
      </c>
      <c r="D6" s="128" t="s">
        <v>21</v>
      </c>
      <c r="E6" s="131">
        <v>0.8</v>
      </c>
      <c r="F6" s="128">
        <f t="shared" si="0"/>
        <v>60</v>
      </c>
    </row>
    <row r="7" spans="1:6">
      <c r="A7" s="128"/>
      <c r="B7" s="129"/>
      <c r="C7" s="128" t="s">
        <v>22</v>
      </c>
      <c r="D7" s="128">
        <v>120</v>
      </c>
      <c r="E7" s="131">
        <v>1.5</v>
      </c>
      <c r="F7" s="128">
        <f t="shared" si="0"/>
        <v>120</v>
      </c>
    </row>
    <row r="8" ht="33" spans="1:6">
      <c r="A8" s="128" t="s">
        <v>25</v>
      </c>
      <c r="B8" s="129" t="s">
        <v>26</v>
      </c>
      <c r="C8" s="128" t="s">
        <v>27</v>
      </c>
      <c r="D8" s="128" t="s">
        <v>28</v>
      </c>
      <c r="E8" s="132" t="s">
        <v>27</v>
      </c>
      <c r="F8" s="128" t="s">
        <v>27</v>
      </c>
    </row>
  </sheetData>
  <mergeCells count="4">
    <mergeCell ref="A2:A4"/>
    <mergeCell ref="A5:A7"/>
    <mergeCell ref="B2:B4"/>
    <mergeCell ref="B5:B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5"/>
  <sheetViews>
    <sheetView showGridLines="0" tabSelected="1" zoomScale="55" zoomScaleNormal="55" workbookViewId="0">
      <selection activeCell="H5" sqref="H5:I5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6.1333333333333" style="1" customWidth="1"/>
    <col min="4" max="4" width="23.183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31</v>
      </c>
      <c r="E2" s="76"/>
      <c r="F2" s="76"/>
      <c r="G2" s="76"/>
      <c r="H2" s="100" t="s">
        <v>32</v>
      </c>
      <c r="I2" s="100"/>
      <c r="J2" s="100"/>
      <c r="K2" s="100" t="s">
        <v>33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36</v>
      </c>
      <c r="E3" s="80"/>
      <c r="F3" s="80"/>
      <c r="G3" s="80"/>
      <c r="H3" s="101" t="s">
        <v>37</v>
      </c>
      <c r="I3" s="101"/>
      <c r="J3" s="101"/>
      <c r="K3" s="101" t="s">
        <v>38</v>
      </c>
      <c r="L3" s="101"/>
      <c r="M3" s="18" t="s">
        <v>39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90" customHeight="1" spans="1:17">
      <c r="A5" s="27" t="s">
        <v>46</v>
      </c>
      <c r="B5" s="28"/>
      <c r="C5" s="62" t="s">
        <v>47</v>
      </c>
      <c r="D5" s="28">
        <v>0.3</v>
      </c>
      <c r="E5" s="30">
        <v>88</v>
      </c>
      <c r="F5" s="31"/>
      <c r="G5" s="32"/>
      <c r="H5" s="70" t="s">
        <v>48</v>
      </c>
      <c r="I5" s="62"/>
      <c r="J5" s="39"/>
      <c r="K5" s="39"/>
      <c r="L5" s="39"/>
      <c r="M5" s="39"/>
      <c r="N5" s="39"/>
      <c r="O5" s="39"/>
      <c r="P5" s="71"/>
      <c r="Q5" s="71"/>
    </row>
    <row r="6" s="3" customFormat="1" ht="167" customHeight="1" spans="1:17">
      <c r="A6" s="38"/>
      <c r="B6" s="28"/>
      <c r="C6" s="62" t="s">
        <v>49</v>
      </c>
      <c r="D6" s="28">
        <v>0.3</v>
      </c>
      <c r="E6" s="30">
        <v>90</v>
      </c>
      <c r="F6" s="31"/>
      <c r="G6" s="32"/>
      <c r="H6" s="70" t="s">
        <v>50</v>
      </c>
      <c r="I6" s="62"/>
      <c r="J6" s="39"/>
      <c r="K6" s="39"/>
      <c r="L6" s="39"/>
      <c r="M6" s="39"/>
      <c r="N6" s="39"/>
      <c r="O6" s="39"/>
      <c r="P6" s="71"/>
      <c r="Q6" s="71"/>
    </row>
    <row r="7" s="3" customFormat="1" ht="162" customHeight="1" spans="1:17">
      <c r="A7" s="38"/>
      <c r="B7" s="28"/>
      <c r="C7" s="62" t="s">
        <v>51</v>
      </c>
      <c r="D7" s="28">
        <v>0.15</v>
      </c>
      <c r="E7" s="30">
        <v>90</v>
      </c>
      <c r="F7" s="31"/>
      <c r="G7" s="32"/>
      <c r="H7" s="70" t="s">
        <v>52</v>
      </c>
      <c r="I7" s="62"/>
      <c r="J7" s="39"/>
      <c r="K7" s="39"/>
      <c r="L7" s="39"/>
      <c r="M7" s="39"/>
      <c r="N7" s="39"/>
      <c r="O7" s="39"/>
      <c r="P7" s="71"/>
      <c r="Q7" s="71"/>
    </row>
    <row r="8" s="3" customFormat="1" ht="110" customHeight="1" spans="1:17">
      <c r="A8" s="105"/>
      <c r="B8" s="41"/>
      <c r="C8" s="62" t="s">
        <v>53</v>
      </c>
      <c r="D8" s="28">
        <v>0.05</v>
      </c>
      <c r="E8" s="30">
        <v>85</v>
      </c>
      <c r="F8" s="31"/>
      <c r="G8" s="32"/>
      <c r="H8" s="124" t="s">
        <v>54</v>
      </c>
      <c r="I8" s="69"/>
      <c r="J8" s="39"/>
      <c r="K8" s="35"/>
      <c r="L8" s="36"/>
      <c r="M8" s="39"/>
      <c r="N8" s="39"/>
      <c r="O8" s="39"/>
      <c r="P8" s="109"/>
      <c r="Q8" s="110"/>
    </row>
    <row r="9" s="3" customFormat="1" ht="85" customHeight="1" spans="1:17">
      <c r="A9" s="40" t="s">
        <v>55</v>
      </c>
      <c r="B9" s="41"/>
      <c r="C9" s="29" t="s">
        <v>56</v>
      </c>
      <c r="D9" s="28">
        <v>0.1</v>
      </c>
      <c r="E9" s="30">
        <v>96</v>
      </c>
      <c r="F9" s="31"/>
      <c r="G9" s="32"/>
      <c r="H9" s="124" t="s">
        <v>57</v>
      </c>
      <c r="I9" s="69"/>
      <c r="J9" s="39"/>
      <c r="K9" s="39"/>
      <c r="L9" s="39"/>
      <c r="M9" s="39"/>
      <c r="N9" s="39"/>
      <c r="O9" s="39"/>
      <c r="P9" s="68"/>
      <c r="Q9" s="68"/>
    </row>
    <row r="10" s="3" customFormat="1" ht="110" customHeight="1" spans="1:17">
      <c r="A10" s="40"/>
      <c r="B10" s="42"/>
      <c r="C10" s="29" t="s">
        <v>58</v>
      </c>
      <c r="D10" s="28">
        <v>0.1</v>
      </c>
      <c r="E10" s="30">
        <v>88</v>
      </c>
      <c r="F10" s="31"/>
      <c r="G10" s="32"/>
      <c r="H10" s="70" t="s">
        <v>59</v>
      </c>
      <c r="I10" s="62"/>
      <c r="J10" s="39"/>
      <c r="K10" s="39"/>
      <c r="L10" s="39"/>
      <c r="M10" s="39"/>
      <c r="N10" s="39"/>
      <c r="O10" s="39"/>
      <c r="P10" s="68"/>
      <c r="Q10" s="68"/>
    </row>
    <row r="11" s="1" customFormat="1" ht="49" customHeight="1" spans="1:17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89.55</v>
      </c>
      <c r="F11" s="96"/>
      <c r="G11" s="97"/>
      <c r="H11" s="45"/>
      <c r="I11" s="45"/>
      <c r="J11" s="49"/>
      <c r="K11" s="50"/>
      <c r="L11" s="50"/>
      <c r="M11" s="50"/>
      <c r="N11" s="50"/>
      <c r="O11" s="51"/>
      <c r="P11" s="46"/>
      <c r="Q11" s="48"/>
    </row>
    <row r="12" s="1" customFormat="1" ht="46" customHeight="1" spans="1:17">
      <c r="A12" s="52" t="s">
        <v>61</v>
      </c>
      <c r="B12" s="52"/>
      <c r="C12" s="52"/>
      <c r="D12" s="52"/>
      <c r="E12" s="52"/>
      <c r="F12" s="52"/>
      <c r="G12" s="52"/>
      <c r="H12" s="98" t="s">
        <v>62</v>
      </c>
      <c r="I12" s="98"/>
      <c r="J12" s="52" t="s">
        <v>63</v>
      </c>
      <c r="K12" s="52"/>
      <c r="L12" s="52"/>
      <c r="M12" s="52"/>
      <c r="N12" s="52"/>
      <c r="O12" s="52"/>
      <c r="P12" s="99" t="s">
        <v>64</v>
      </c>
      <c r="Q12" s="99"/>
    </row>
    <row r="13" s="1" customFormat="1" ht="48" customHeight="1" spans="1:17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7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8"/>
    </row>
    <row r="15" s="4" customFormat="1" ht="40" customHeight="1" spans="1:17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8"/>
    </row>
    <row r="16" s="1" customFormat="1" spans="1:17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4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K8:L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J15:K15"/>
    <mergeCell ref="A5:A7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zoomScale="50" zoomScaleNormal="50" workbookViewId="0">
      <selection activeCell="J5" sqref="J5:O5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69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70</v>
      </c>
      <c r="E3" s="80"/>
      <c r="F3" s="80"/>
      <c r="G3" s="80"/>
      <c r="H3" s="101" t="s">
        <v>37</v>
      </c>
      <c r="I3" s="101"/>
      <c r="J3" s="101"/>
      <c r="K3" s="101" t="s">
        <v>71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51" customHeight="1" spans="1:17">
      <c r="A5" s="27" t="s">
        <v>46</v>
      </c>
      <c r="B5" s="28"/>
      <c r="C5" s="29" t="s">
        <v>73</v>
      </c>
      <c r="D5" s="28">
        <v>0.3</v>
      </c>
      <c r="E5" s="30">
        <f>D5*95</f>
        <v>28.5</v>
      </c>
      <c r="F5" s="31"/>
      <c r="G5" s="32"/>
      <c r="H5" s="70" t="s">
        <v>74</v>
      </c>
      <c r="I5" s="62"/>
      <c r="J5" s="39">
        <v>28</v>
      </c>
      <c r="K5" s="39"/>
      <c r="L5" s="39"/>
      <c r="M5" s="39"/>
      <c r="N5" s="39"/>
      <c r="O5" s="39"/>
      <c r="P5" s="71" t="s">
        <v>75</v>
      </c>
      <c r="Q5" s="71"/>
    </row>
    <row r="6" s="3" customFormat="1" ht="73" customHeight="1" spans="1:17">
      <c r="A6" s="38"/>
      <c r="B6" s="28"/>
      <c r="C6" s="29" t="s">
        <v>76</v>
      </c>
      <c r="D6" s="28">
        <v>0.3</v>
      </c>
      <c r="E6" s="30">
        <f>D6*90</f>
        <v>27</v>
      </c>
      <c r="F6" s="31"/>
      <c r="G6" s="32"/>
      <c r="H6" s="70" t="s">
        <v>77</v>
      </c>
      <c r="I6" s="62"/>
      <c r="J6" s="39">
        <v>26</v>
      </c>
      <c r="K6" s="39"/>
      <c r="L6" s="39"/>
      <c r="M6" s="39"/>
      <c r="N6" s="39"/>
      <c r="O6" s="39"/>
      <c r="P6" s="71" t="s">
        <v>78</v>
      </c>
      <c r="Q6" s="71"/>
    </row>
    <row r="7" s="3" customFormat="1" ht="54" customHeight="1" spans="1:17">
      <c r="A7" s="38"/>
      <c r="B7" s="28"/>
      <c r="C7" s="29" t="s">
        <v>79</v>
      </c>
      <c r="D7" s="28">
        <v>0.2</v>
      </c>
      <c r="E7" s="30">
        <f>D7*90</f>
        <v>18</v>
      </c>
      <c r="F7" s="31"/>
      <c r="G7" s="32"/>
      <c r="H7" s="70" t="s">
        <v>80</v>
      </c>
      <c r="I7" s="62"/>
      <c r="J7" s="39">
        <v>18</v>
      </c>
      <c r="K7" s="39"/>
      <c r="L7" s="39"/>
      <c r="M7" s="39"/>
      <c r="N7" s="39"/>
      <c r="O7" s="39"/>
      <c r="P7" s="68"/>
      <c r="Q7" s="68"/>
    </row>
    <row r="8" s="3" customFormat="1" ht="54" customHeight="1" spans="1:17">
      <c r="A8" s="40" t="s">
        <v>55</v>
      </c>
      <c r="B8" s="41"/>
      <c r="C8" s="29" t="s">
        <v>56</v>
      </c>
      <c r="D8" s="28">
        <v>0.1</v>
      </c>
      <c r="E8" s="30">
        <f>D8*100</f>
        <v>10</v>
      </c>
      <c r="F8" s="31"/>
      <c r="G8" s="32"/>
      <c r="H8" s="70" t="s">
        <v>81</v>
      </c>
      <c r="I8" s="62"/>
      <c r="J8" s="39">
        <v>11</v>
      </c>
      <c r="K8" s="39"/>
      <c r="L8" s="39"/>
      <c r="M8" s="39"/>
      <c r="N8" s="39"/>
      <c r="O8" s="39"/>
      <c r="P8" s="71" t="s">
        <v>82</v>
      </c>
      <c r="Q8" s="71"/>
    </row>
    <row r="9" s="3" customFormat="1" ht="56" customHeight="1" spans="1:17">
      <c r="A9" s="40"/>
      <c r="B9" s="42"/>
      <c r="C9" s="29" t="s">
        <v>58</v>
      </c>
      <c r="D9" s="28">
        <v>0.1</v>
      </c>
      <c r="E9" s="30">
        <f>D9*100</f>
        <v>10</v>
      </c>
      <c r="F9" s="31"/>
      <c r="G9" s="32"/>
      <c r="H9" s="70" t="s">
        <v>83</v>
      </c>
      <c r="I9" s="62"/>
      <c r="J9" s="39">
        <v>10</v>
      </c>
      <c r="K9" s="39"/>
      <c r="L9" s="39"/>
      <c r="M9" s="39"/>
      <c r="N9" s="39"/>
      <c r="O9" s="39"/>
      <c r="P9" s="37"/>
      <c r="Q9" s="37"/>
    </row>
    <row r="10" s="1" customFormat="1" ht="49" customHeight="1" spans="1:17">
      <c r="A10" s="43" t="s">
        <v>60</v>
      </c>
      <c r="B10" s="44"/>
      <c r="C10" s="44"/>
      <c r="D10" s="45">
        <f>SUM(D5:D9)</f>
        <v>1</v>
      </c>
      <c r="E10" s="95">
        <f>SUM(E5:G9)</f>
        <v>93.5</v>
      </c>
      <c r="F10" s="96"/>
      <c r="G10" s="97"/>
      <c r="H10" s="45"/>
      <c r="I10" s="45"/>
      <c r="J10" s="49">
        <f>SUM(J5:O9)</f>
        <v>93</v>
      </c>
      <c r="K10" s="50"/>
      <c r="L10" s="50"/>
      <c r="M10" s="50"/>
      <c r="N10" s="50"/>
      <c r="O10" s="51"/>
      <c r="P10" s="46"/>
      <c r="Q10" s="48"/>
    </row>
    <row r="11" s="1" customFormat="1" ht="46" customHeight="1" spans="1:17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7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7">
      <c r="A13" s="55"/>
      <c r="B13" s="55"/>
      <c r="C13" s="55"/>
      <c r="D13" s="56" t="s">
        <v>66</v>
      </c>
      <c r="E13" s="57" t="s">
        <v>84</v>
      </c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8"/>
    </row>
    <row r="14" s="4" customFormat="1" ht="40" customHeight="1" spans="1:17">
      <c r="A14" s="55"/>
      <c r="B14" s="55"/>
      <c r="C14" s="55"/>
      <c r="D14" s="56" t="s">
        <v>68</v>
      </c>
      <c r="E14" s="119">
        <v>46041</v>
      </c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8"/>
    </row>
    <row r="15" s="1" customFormat="1" spans="1:17">
      <c r="D15" s="2"/>
      <c r="P15" s="2"/>
    </row>
    <row r="16" s="1" customFormat="1" ht="22.5" spans="1:17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J14:K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zoomScale="55" zoomScaleNormal="55" workbookViewId="0">
      <selection activeCell="L9" sqref="L9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85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86</v>
      </c>
      <c r="E3" s="80"/>
      <c r="F3" s="80"/>
      <c r="G3" s="80"/>
      <c r="H3" s="101" t="s">
        <v>37</v>
      </c>
      <c r="I3" s="101"/>
      <c r="J3" s="101"/>
      <c r="K3" s="101" t="s">
        <v>87</v>
      </c>
      <c r="L3" s="101"/>
      <c r="M3" s="18" t="s">
        <v>88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60" customHeight="1" spans="1:17">
      <c r="A5" s="27" t="s">
        <v>46</v>
      </c>
      <c r="B5" s="28"/>
      <c r="C5" s="29" t="s">
        <v>89</v>
      </c>
      <c r="D5" s="28">
        <v>0.3</v>
      </c>
      <c r="E5" s="30">
        <v>110</v>
      </c>
      <c r="F5" s="31"/>
      <c r="G5" s="32"/>
      <c r="H5" s="70" t="s">
        <v>90</v>
      </c>
      <c r="I5" s="62"/>
      <c r="J5" s="120"/>
      <c r="K5" s="120"/>
      <c r="L5" s="40">
        <v>95</v>
      </c>
      <c r="M5" s="120"/>
      <c r="N5" s="120"/>
      <c r="O5" s="120"/>
      <c r="P5" s="37" t="s">
        <v>91</v>
      </c>
      <c r="Q5" s="37"/>
    </row>
    <row r="6" s="3" customFormat="1" ht="51" customHeight="1" spans="1:17">
      <c r="A6" s="38"/>
      <c r="B6" s="28"/>
      <c r="C6" s="29" t="s">
        <v>92</v>
      </c>
      <c r="D6" s="28">
        <v>0.2</v>
      </c>
      <c r="E6" s="30">
        <v>115</v>
      </c>
      <c r="F6" s="31"/>
      <c r="G6" s="32"/>
      <c r="H6" s="70" t="s">
        <v>93</v>
      </c>
      <c r="I6" s="62"/>
      <c r="J6" s="120"/>
      <c r="K6" s="120"/>
      <c r="L6" s="40">
        <v>95</v>
      </c>
      <c r="M6" s="120"/>
      <c r="N6" s="120"/>
      <c r="O6" s="120"/>
      <c r="P6" s="37" t="s">
        <v>94</v>
      </c>
      <c r="Q6" s="37"/>
    </row>
    <row r="7" s="3" customFormat="1" ht="79" customHeight="1" spans="1:17">
      <c r="A7" s="38"/>
      <c r="B7" s="28"/>
      <c r="C7" s="29" t="s">
        <v>95</v>
      </c>
      <c r="D7" s="28">
        <v>0.3</v>
      </c>
      <c r="E7" s="30">
        <v>100</v>
      </c>
      <c r="F7" s="31"/>
      <c r="G7" s="32"/>
      <c r="H7" s="70" t="s">
        <v>96</v>
      </c>
      <c r="I7" s="62"/>
      <c r="J7" s="120"/>
      <c r="K7" s="120"/>
      <c r="L7" s="40">
        <v>90</v>
      </c>
      <c r="M7" s="120"/>
      <c r="N7" s="120"/>
      <c r="O7" s="120"/>
      <c r="P7" s="37" t="s">
        <v>97</v>
      </c>
      <c r="Q7" s="37"/>
    </row>
    <row r="8" s="3" customFormat="1" ht="54" customHeight="1" spans="1:17">
      <c r="A8" s="40" t="s">
        <v>55</v>
      </c>
      <c r="B8" s="41"/>
      <c r="C8" s="29" t="s">
        <v>56</v>
      </c>
      <c r="D8" s="28">
        <v>0.1</v>
      </c>
      <c r="E8" s="30">
        <v>110</v>
      </c>
      <c r="F8" s="31"/>
      <c r="G8" s="32"/>
      <c r="H8" s="70" t="s">
        <v>98</v>
      </c>
      <c r="I8" s="62"/>
      <c r="J8" s="120"/>
      <c r="K8" s="120"/>
      <c r="L8" s="39">
        <v>100</v>
      </c>
      <c r="M8" s="120"/>
      <c r="N8" s="120"/>
      <c r="O8" s="120"/>
      <c r="P8" s="37" t="s">
        <v>99</v>
      </c>
      <c r="Q8" s="37"/>
    </row>
    <row r="9" s="3" customFormat="1" ht="73" customHeight="1" spans="1:17">
      <c r="A9" s="40"/>
      <c r="B9" s="42"/>
      <c r="C9" s="29" t="s">
        <v>58</v>
      </c>
      <c r="D9" s="28">
        <v>0.1</v>
      </c>
      <c r="E9" s="30">
        <v>120</v>
      </c>
      <c r="F9" s="31"/>
      <c r="G9" s="32"/>
      <c r="H9" s="70" t="s">
        <v>100</v>
      </c>
      <c r="I9" s="62"/>
      <c r="J9" s="120"/>
      <c r="K9" s="120"/>
      <c r="L9" s="39">
        <v>98</v>
      </c>
      <c r="M9" s="120"/>
      <c r="N9" s="120"/>
      <c r="O9" s="120"/>
      <c r="P9" s="37" t="s">
        <v>101</v>
      </c>
      <c r="Q9" s="37"/>
    </row>
    <row r="10" s="1" customFormat="1" ht="49" customHeight="1" spans="1:17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109</v>
      </c>
      <c r="F10" s="96"/>
      <c r="G10" s="97"/>
      <c r="H10" s="45"/>
      <c r="I10" s="45"/>
      <c r="J10" s="46" cm="1">
        <f t="array" ref="J10">SUMPRODUCT(D5:D9,L5:L9)</f>
        <v>94.3</v>
      </c>
      <c r="K10" s="47"/>
      <c r="L10" s="47"/>
      <c r="M10" s="47"/>
      <c r="N10" s="47"/>
      <c r="O10" s="48"/>
      <c r="P10" s="46"/>
      <c r="Q10" s="48"/>
    </row>
    <row r="11" s="1" customFormat="1" ht="46" customHeight="1" spans="1:17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7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7">
      <c r="A13" s="55"/>
      <c r="B13" s="55"/>
      <c r="C13" s="55"/>
      <c r="D13" s="56" t="s">
        <v>66</v>
      </c>
      <c r="E13" s="57"/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8"/>
    </row>
    <row r="14" s="4" customFormat="1" ht="40" customHeight="1" spans="1:17">
      <c r="A14" s="55"/>
      <c r="B14" s="55"/>
      <c r="C14" s="55"/>
      <c r="D14" s="56" t="s">
        <v>68</v>
      </c>
      <c r="E14" s="57"/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8"/>
    </row>
    <row r="15" s="1" customFormat="1" spans="1:17">
      <c r="D15" s="2"/>
      <c r="P15" s="2"/>
    </row>
    <row r="16" s="1" customFormat="1" ht="22.5" spans="1:17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45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P5:Q5"/>
    <mergeCell ref="E6:G6"/>
    <mergeCell ref="H6:I6"/>
    <mergeCell ref="P6:Q6"/>
    <mergeCell ref="E7:G7"/>
    <mergeCell ref="H7:I7"/>
    <mergeCell ref="P7:Q7"/>
    <mergeCell ref="E8:F8"/>
    <mergeCell ref="H8:I8"/>
    <mergeCell ref="P8:Q8"/>
    <mergeCell ref="E9:G9"/>
    <mergeCell ref="H9:I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J14:K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8"/>
  <sheetViews>
    <sheetView showGridLines="0" zoomScale="55" zoomScaleNormal="55" topLeftCell="A6" workbookViewId="0">
      <selection activeCell="H12" sqref="H12:I12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11.9166666666667" style="1" customWidth="1"/>
    <col min="6" max="6" width="10" style="1" customWidth="1"/>
    <col min="7" max="7" width="3.10833333333333" style="1" hidden="1" customWidth="1"/>
    <col min="8" max="8" width="22.2166666666667" style="1" customWidth="1"/>
    <col min="9" max="9" width="87.8666666666667" style="1" customWidth="1"/>
    <col min="10" max="10" width="0.225" style="1" hidden="1" customWidth="1"/>
    <col min="11" max="11" width="19.5583333333333" style="1" customWidth="1"/>
    <col min="12" max="12" width="18.99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102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86</v>
      </c>
      <c r="E3" s="80"/>
      <c r="F3" s="80"/>
      <c r="G3" s="80"/>
      <c r="H3" s="101" t="s">
        <v>37</v>
      </c>
      <c r="I3" s="101"/>
      <c r="J3" s="101"/>
      <c r="K3" s="101" t="s">
        <v>87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94" customHeight="1" spans="1:18">
      <c r="A5" s="27" t="s">
        <v>46</v>
      </c>
      <c r="B5" s="28"/>
      <c r="C5" s="29" t="s">
        <v>103</v>
      </c>
      <c r="D5" s="28">
        <v>0.02</v>
      </c>
      <c r="E5" s="30">
        <v>100</v>
      </c>
      <c r="F5" s="31"/>
      <c r="G5" s="32"/>
      <c r="H5" s="70" t="s">
        <v>104</v>
      </c>
      <c r="I5" s="62"/>
      <c r="J5" s="40">
        <v>100</v>
      </c>
      <c r="K5" s="40"/>
      <c r="L5" s="40"/>
      <c r="M5" s="40"/>
      <c r="N5" s="40"/>
      <c r="O5" s="40"/>
      <c r="P5" s="37" t="s">
        <v>105</v>
      </c>
      <c r="Q5" s="37"/>
    </row>
    <row r="6" s="3" customFormat="1" ht="143" customHeight="1" spans="1:18">
      <c r="A6" s="38"/>
      <c r="B6" s="28"/>
      <c r="C6" s="29" t="s">
        <v>106</v>
      </c>
      <c r="D6" s="28">
        <v>0.1</v>
      </c>
      <c r="E6" s="30">
        <v>100</v>
      </c>
      <c r="F6" s="31"/>
      <c r="G6" s="32"/>
      <c r="H6" s="70" t="s">
        <v>107</v>
      </c>
      <c r="I6" s="62"/>
      <c r="J6" s="40">
        <v>95</v>
      </c>
      <c r="K6" s="40"/>
      <c r="L6" s="40"/>
      <c r="M6" s="40"/>
      <c r="N6" s="40"/>
      <c r="O6" s="40"/>
      <c r="P6" s="37" t="s">
        <v>108</v>
      </c>
      <c r="Q6" s="37"/>
    </row>
    <row r="7" s="3" customFormat="1" ht="279" customHeight="1" spans="1:18">
      <c r="A7" s="38"/>
      <c r="B7" s="28"/>
      <c r="C7" s="29" t="s">
        <v>109</v>
      </c>
      <c r="D7" s="28">
        <v>0.5</v>
      </c>
      <c r="E7" s="30">
        <v>120</v>
      </c>
      <c r="F7" s="31"/>
      <c r="G7" s="32"/>
      <c r="H7" s="70" t="s">
        <v>110</v>
      </c>
      <c r="I7" s="62"/>
      <c r="J7" s="40">
        <v>93</v>
      </c>
      <c r="K7" s="40"/>
      <c r="L7" s="40"/>
      <c r="M7" s="40"/>
      <c r="N7" s="40"/>
      <c r="O7" s="40"/>
      <c r="P7" s="37" t="s">
        <v>111</v>
      </c>
      <c r="Q7" s="37"/>
    </row>
    <row r="8" s="3" customFormat="1" ht="80" customHeight="1" spans="1:18">
      <c r="A8" s="38"/>
      <c r="B8" s="28"/>
      <c r="C8" s="29" t="s">
        <v>112</v>
      </c>
      <c r="D8" s="28">
        <v>0.03</v>
      </c>
      <c r="E8" s="30">
        <v>100</v>
      </c>
      <c r="F8" s="31"/>
      <c r="G8" s="32"/>
      <c r="H8" s="70" t="s">
        <v>113</v>
      </c>
      <c r="I8" s="62"/>
      <c r="J8" s="40">
        <v>90</v>
      </c>
      <c r="K8" s="40"/>
      <c r="L8" s="40"/>
      <c r="M8" s="40"/>
      <c r="N8" s="40"/>
      <c r="O8" s="40"/>
      <c r="P8" s="37" t="s">
        <v>114</v>
      </c>
      <c r="Q8" s="37"/>
    </row>
    <row r="9" s="3" customFormat="1" ht="94" customHeight="1" spans="1:18">
      <c r="A9" s="38"/>
      <c r="B9" s="28"/>
      <c r="C9" s="29" t="s">
        <v>115</v>
      </c>
      <c r="D9" s="28">
        <v>0.15</v>
      </c>
      <c r="E9" s="30">
        <v>120</v>
      </c>
      <c r="F9" s="31"/>
      <c r="G9" s="32"/>
      <c r="H9" s="70" t="s">
        <v>116</v>
      </c>
      <c r="I9" s="62"/>
      <c r="J9" s="40">
        <v>100</v>
      </c>
      <c r="K9" s="40"/>
      <c r="L9" s="40"/>
      <c r="M9" s="40"/>
      <c r="N9" s="40"/>
      <c r="O9" s="40"/>
      <c r="P9" s="37" t="s">
        <v>117</v>
      </c>
      <c r="Q9" s="37"/>
    </row>
    <row r="10" s="3" customFormat="1" ht="54" customHeight="1" spans="1:18">
      <c r="A10" s="40" t="s">
        <v>55</v>
      </c>
      <c r="B10" s="41"/>
      <c r="C10" s="29" t="s">
        <v>56</v>
      </c>
      <c r="D10" s="28">
        <v>0.1</v>
      </c>
      <c r="E10" s="30">
        <v>110</v>
      </c>
      <c r="F10" s="31"/>
      <c r="G10" s="32"/>
      <c r="H10" s="70" t="s">
        <v>118</v>
      </c>
      <c r="I10" s="62"/>
      <c r="J10" s="40">
        <v>90</v>
      </c>
      <c r="K10" s="40"/>
      <c r="L10" s="40"/>
      <c r="M10" s="40"/>
      <c r="N10" s="40"/>
      <c r="O10" s="40"/>
      <c r="P10" s="37" t="s">
        <v>119</v>
      </c>
      <c r="Q10" s="37"/>
    </row>
    <row r="11" s="3" customFormat="1" ht="98" customHeight="1" spans="1:18">
      <c r="A11" s="40"/>
      <c r="B11" s="42"/>
      <c r="C11" s="29" t="s">
        <v>58</v>
      </c>
      <c r="D11" s="28">
        <v>0.1</v>
      </c>
      <c r="E11" s="30">
        <v>110</v>
      </c>
      <c r="F11" s="31"/>
      <c r="G11" s="32"/>
      <c r="H11" s="70" t="s">
        <v>120</v>
      </c>
      <c r="I11" s="62"/>
      <c r="J11" s="40">
        <v>90</v>
      </c>
      <c r="K11" s="40"/>
      <c r="L11" s="40"/>
      <c r="M11" s="40"/>
      <c r="N11" s="40"/>
      <c r="O11" s="40"/>
      <c r="P11" s="37" t="s">
        <v>121</v>
      </c>
      <c r="Q11" s="37"/>
    </row>
    <row r="12" s="1" customFormat="1" ht="49" customHeight="1" spans="1:18">
      <c r="A12" s="43" t="s">
        <v>60</v>
      </c>
      <c r="B12" s="44"/>
      <c r="C12" s="44"/>
      <c r="D12" s="45">
        <f>SUM(D5:D11)</f>
        <v>1</v>
      </c>
      <c r="E12" s="95" cm="1">
        <f t="array" ref="E12">SUMPRODUCT(D5:D11,E5:E11)</f>
        <v>115</v>
      </c>
      <c r="F12" s="96"/>
      <c r="G12" s="97"/>
      <c r="H12" s="45"/>
      <c r="I12" s="45"/>
      <c r="J12" s="46" cm="1">
        <f t="array" ref="J12">SUMPRODUCT(D5:D11,J5:J11)</f>
        <v>93.7</v>
      </c>
      <c r="K12" s="47"/>
      <c r="L12" s="47"/>
      <c r="M12" s="47"/>
      <c r="N12" s="47"/>
      <c r="O12" s="48"/>
      <c r="P12" s="46"/>
      <c r="Q12" s="48"/>
    </row>
    <row r="13" s="1" customFormat="1" ht="46" customHeight="1" spans="1:18">
      <c r="A13" s="52" t="s">
        <v>61</v>
      </c>
      <c r="B13" s="52"/>
      <c r="C13" s="52"/>
      <c r="D13" s="52"/>
      <c r="E13" s="52"/>
      <c r="F13" s="52"/>
      <c r="G13" s="52"/>
      <c r="H13" s="98" t="s">
        <v>62</v>
      </c>
      <c r="I13" s="98"/>
      <c r="J13" s="52" t="s">
        <v>63</v>
      </c>
      <c r="K13" s="52"/>
      <c r="L13" s="52"/>
      <c r="M13" s="52"/>
      <c r="N13" s="52"/>
      <c r="O13" s="52"/>
      <c r="P13" s="99" t="s">
        <v>64</v>
      </c>
      <c r="Q13" s="99"/>
    </row>
    <row r="14" s="1" customFormat="1" ht="48" customHeight="1" spans="1:18">
      <c r="A14" s="54" t="s">
        <v>65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="4" customFormat="1" ht="40" customHeight="1" spans="1:18">
      <c r="A15" s="55"/>
      <c r="B15" s="55"/>
      <c r="C15" s="55"/>
      <c r="D15" s="56" t="s">
        <v>66</v>
      </c>
      <c r="E15" s="57"/>
      <c r="F15" s="58"/>
      <c r="G15" s="58"/>
      <c r="H15" s="58"/>
      <c r="I15" s="58"/>
      <c r="J15" s="55" t="s">
        <v>67</v>
      </c>
      <c r="K15" s="55"/>
      <c r="L15" s="57"/>
      <c r="M15" s="57"/>
      <c r="N15" s="58"/>
      <c r="O15" s="58"/>
      <c r="P15" s="59"/>
      <c r="Q15" s="55"/>
      <c r="R15" s="55"/>
    </row>
    <row r="16" s="4" customFormat="1" ht="40" customHeight="1" spans="1:18">
      <c r="A16" s="55"/>
      <c r="B16" s="55"/>
      <c r="C16" s="55"/>
      <c r="D16" s="56" t="s">
        <v>68</v>
      </c>
      <c r="E16" s="57"/>
      <c r="F16" s="58"/>
      <c r="G16" s="58"/>
      <c r="H16" s="58"/>
      <c r="I16" s="58"/>
      <c r="J16" s="55" t="s">
        <v>68</v>
      </c>
      <c r="K16" s="55"/>
      <c r="L16" s="60"/>
      <c r="M16" s="60"/>
      <c r="N16" s="58"/>
      <c r="O16" s="58"/>
      <c r="P16" s="59"/>
      <c r="Q16" s="55"/>
      <c r="R16" s="55"/>
    </row>
    <row r="17" s="1" customFormat="1" spans="1:16">
      <c r="D17" s="2"/>
      <c r="P17" s="2"/>
    </row>
    <row r="18" s="1" customFormat="1" ht="22.5" spans="1:16">
      <c r="A18" s="61"/>
      <c r="B18" s="61"/>
      <c r="C18" s="61"/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  <c r="P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16">
      <c r="D33" s="2"/>
    </row>
    <row r="34" s="1" customFormat="1" spans="4:16">
      <c r="D34" s="2"/>
    </row>
    <row r="35" s="1" customFormat="1" spans="4:16">
      <c r="D35" s="2"/>
    </row>
    <row r="36" s="1" customFormat="1" spans="4:16">
      <c r="D36" s="2"/>
    </row>
    <row r="37" s="1" customFormat="1" spans="4:16">
      <c r="D37" s="2"/>
      <c r="P37" s="2"/>
    </row>
    <row r="38" s="1" customFormat="1" spans="4:16">
      <c r="D38" s="2"/>
      <c r="P38" s="2"/>
    </row>
  </sheetData>
  <mergeCells count="6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F9"/>
    <mergeCell ref="H9:I9"/>
    <mergeCell ref="J9:O9"/>
    <mergeCell ref="P9:Q9"/>
    <mergeCell ref="E10:F10"/>
    <mergeCell ref="H10:I10"/>
    <mergeCell ref="J10:O10"/>
    <mergeCell ref="P10:Q10"/>
    <mergeCell ref="E11:G11"/>
    <mergeCell ref="H11:I11"/>
    <mergeCell ref="J11:O11"/>
    <mergeCell ref="P11:Q11"/>
    <mergeCell ref="A12:B12"/>
    <mergeCell ref="E12:G12"/>
    <mergeCell ref="H12:I12"/>
    <mergeCell ref="J12:O12"/>
    <mergeCell ref="P12:Q12"/>
    <mergeCell ref="A13:G13"/>
    <mergeCell ref="H13:I13"/>
    <mergeCell ref="J13:O13"/>
    <mergeCell ref="P13:Q13"/>
    <mergeCell ref="A14:Q14"/>
    <mergeCell ref="J15:K15"/>
    <mergeCell ref="Q15:R15"/>
    <mergeCell ref="J16:K16"/>
    <mergeCell ref="Q16:R16"/>
    <mergeCell ref="A5:A9"/>
    <mergeCell ref="A10:A11"/>
  </mergeCells>
  <dataValidations count="1">
    <dataValidation type="list" allowBlank="1" showInputMessage="1" showErrorMessage="1" sqref="H13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6"/>
  <sheetViews>
    <sheetView showGridLines="0" zoomScale="50" zoomScaleNormal="50" workbookViewId="0">
      <selection activeCell="L9" sqref="L9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2.4416666666667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122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123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124</v>
      </c>
      <c r="E3" s="80"/>
      <c r="F3" s="80"/>
      <c r="G3" s="80"/>
      <c r="H3" s="101" t="s">
        <v>37</v>
      </c>
      <c r="I3" s="101"/>
      <c r="J3" s="101"/>
      <c r="K3" s="101" t="s">
        <v>87</v>
      </c>
      <c r="L3" s="101"/>
      <c r="M3" s="18" t="s">
        <v>125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64" customHeight="1" spans="1:18">
      <c r="A5" s="27" t="s">
        <v>46</v>
      </c>
      <c r="B5" s="28"/>
      <c r="C5" s="29" t="s">
        <v>126</v>
      </c>
      <c r="D5" s="28">
        <v>0.28</v>
      </c>
      <c r="E5" s="30">
        <v>115</v>
      </c>
      <c r="F5" s="31"/>
      <c r="G5" s="32"/>
      <c r="H5" s="70" t="s">
        <v>127</v>
      </c>
      <c r="I5" s="62"/>
      <c r="J5" s="120"/>
      <c r="K5" s="120"/>
      <c r="L5" s="40">
        <v>96</v>
      </c>
      <c r="M5" s="120"/>
      <c r="N5" s="120"/>
      <c r="O5" s="120"/>
      <c r="P5" s="37" t="s">
        <v>128</v>
      </c>
      <c r="Q5" s="37"/>
    </row>
    <row r="6" s="3" customFormat="1" ht="51" customHeight="1" spans="1:18">
      <c r="A6" s="38"/>
      <c r="B6" s="28"/>
      <c r="C6" s="29" t="s">
        <v>129</v>
      </c>
      <c r="D6" s="28">
        <v>0.4</v>
      </c>
      <c r="E6" s="30">
        <v>116</v>
      </c>
      <c r="F6" s="31"/>
      <c r="G6" s="32"/>
      <c r="H6" s="70" t="s">
        <v>130</v>
      </c>
      <c r="I6" s="62"/>
      <c r="J6" s="120"/>
      <c r="K6" s="120"/>
      <c r="L6" s="40">
        <v>92</v>
      </c>
      <c r="M6" s="120"/>
      <c r="N6" s="120"/>
      <c r="O6" s="120"/>
      <c r="P6" s="37" t="s">
        <v>131</v>
      </c>
      <c r="Q6" s="37"/>
    </row>
    <row r="7" s="3" customFormat="1" ht="54" customHeight="1" spans="1:18">
      <c r="A7" s="38"/>
      <c r="B7" s="28"/>
      <c r="C7" s="29" t="s">
        <v>132</v>
      </c>
      <c r="D7" s="28">
        <v>0.02</v>
      </c>
      <c r="E7" s="30">
        <v>113</v>
      </c>
      <c r="F7" s="31"/>
      <c r="G7" s="32"/>
      <c r="H7" s="70" t="s">
        <v>133</v>
      </c>
      <c r="I7" s="62"/>
      <c r="J7" s="120"/>
      <c r="K7" s="121"/>
      <c r="L7" s="40">
        <v>100</v>
      </c>
      <c r="M7" s="120"/>
      <c r="N7" s="120"/>
      <c r="O7" s="120"/>
      <c r="P7" s="66" t="s">
        <v>134</v>
      </c>
      <c r="Q7" s="67"/>
    </row>
    <row r="8" s="3" customFormat="1" ht="54" customHeight="1" spans="1:18">
      <c r="A8" s="38"/>
      <c r="B8" s="28"/>
      <c r="C8" s="29" t="s">
        <v>135</v>
      </c>
      <c r="D8" s="28">
        <v>0.05</v>
      </c>
      <c r="E8" s="30">
        <v>118</v>
      </c>
      <c r="F8" s="31"/>
      <c r="G8" s="32"/>
      <c r="H8" s="70" t="s">
        <v>136</v>
      </c>
      <c r="I8" s="62"/>
      <c r="J8" s="120"/>
      <c r="K8" s="120"/>
      <c r="L8" s="40">
        <v>98</v>
      </c>
      <c r="M8" s="120"/>
      <c r="N8" s="120"/>
      <c r="O8" s="120"/>
      <c r="P8" s="37" t="s">
        <v>137</v>
      </c>
      <c r="Q8" s="37"/>
    </row>
    <row r="9" s="3" customFormat="1" ht="54" customHeight="1" spans="1:18">
      <c r="A9" s="105"/>
      <c r="B9" s="41"/>
      <c r="C9" s="29" t="s">
        <v>138</v>
      </c>
      <c r="D9" s="28">
        <v>0.05</v>
      </c>
      <c r="E9" s="30">
        <v>120</v>
      </c>
      <c r="F9" s="31"/>
      <c r="G9" s="32"/>
      <c r="H9" s="70" t="s">
        <v>139</v>
      </c>
      <c r="I9" s="62"/>
      <c r="J9" s="120"/>
      <c r="K9" s="121"/>
      <c r="L9" s="40">
        <v>100</v>
      </c>
      <c r="M9" s="120"/>
      <c r="N9" s="120"/>
      <c r="O9" s="120"/>
      <c r="P9" s="66" t="s">
        <v>140</v>
      </c>
      <c r="Q9" s="67"/>
    </row>
    <row r="10" s="3" customFormat="1" ht="54" customHeight="1" spans="1:18">
      <c r="A10" s="40" t="s">
        <v>55</v>
      </c>
      <c r="B10" s="41"/>
      <c r="C10" s="29" t="s">
        <v>56</v>
      </c>
      <c r="D10" s="28">
        <v>0.1</v>
      </c>
      <c r="E10" s="30">
        <v>120</v>
      </c>
      <c r="F10" s="31"/>
      <c r="G10" s="32"/>
      <c r="H10" s="70" t="s">
        <v>141</v>
      </c>
      <c r="I10" s="62"/>
      <c r="J10" s="120"/>
      <c r="K10" s="120"/>
      <c r="L10" s="40">
        <v>98</v>
      </c>
      <c r="M10" s="120"/>
      <c r="N10" s="120"/>
      <c r="O10" s="120"/>
      <c r="P10" s="37" t="s">
        <v>142</v>
      </c>
      <c r="Q10" s="37"/>
    </row>
    <row r="11" s="3" customFormat="1" ht="87" customHeight="1" spans="1:18">
      <c r="A11" s="40"/>
      <c r="B11" s="42"/>
      <c r="C11" s="29" t="s">
        <v>58</v>
      </c>
      <c r="D11" s="28">
        <v>0.1</v>
      </c>
      <c r="E11" s="30">
        <v>120</v>
      </c>
      <c r="F11" s="31"/>
      <c r="G11" s="32"/>
      <c r="H11" s="70" t="s">
        <v>143</v>
      </c>
      <c r="I11" s="62"/>
      <c r="J11" s="120"/>
      <c r="K11" s="120"/>
      <c r="L11" s="40">
        <v>95</v>
      </c>
      <c r="M11" s="120"/>
      <c r="N11" s="120"/>
      <c r="O11" s="120"/>
      <c r="P11" s="37" t="s">
        <v>144</v>
      </c>
      <c r="Q11" s="37"/>
    </row>
    <row r="12" s="1" customFormat="1" ht="49" customHeight="1" spans="1:18">
      <c r="A12" s="43" t="s">
        <v>60</v>
      </c>
      <c r="B12" s="44"/>
      <c r="C12" s="44"/>
      <c r="D12" s="45">
        <f>SUM(D5:D11)</f>
        <v>1</v>
      </c>
      <c r="E12" s="95" cm="1">
        <f t="array" ref="E12">SUMPRODUCT(D5:D11,E5:E11)</f>
        <v>116.76</v>
      </c>
      <c r="F12" s="96"/>
      <c r="G12" s="97"/>
      <c r="H12" s="45"/>
      <c r="I12" s="45"/>
      <c r="J12" s="46" cm="1">
        <f t="array" ref="J12">SUMPRODUCT(D5:D11,L5:L11)</f>
        <v>94.88</v>
      </c>
      <c r="K12" s="47"/>
      <c r="L12" s="47"/>
      <c r="M12" s="47"/>
      <c r="N12" s="47"/>
      <c r="O12" s="48"/>
      <c r="P12" s="46"/>
      <c r="Q12" s="48"/>
    </row>
    <row r="13" s="1" customFormat="1" ht="46" customHeight="1" spans="1:18">
      <c r="A13" s="52" t="s">
        <v>61</v>
      </c>
      <c r="B13" s="52"/>
      <c r="C13" s="52"/>
      <c r="D13" s="52"/>
      <c r="E13" s="52"/>
      <c r="F13" s="52"/>
      <c r="G13" s="52"/>
      <c r="H13" s="98" t="s">
        <v>62</v>
      </c>
      <c r="I13" s="98"/>
      <c r="J13" s="52" t="s">
        <v>63</v>
      </c>
      <c r="K13" s="52"/>
      <c r="L13" s="52"/>
      <c r="M13" s="52"/>
      <c r="N13" s="52"/>
      <c r="O13" s="52"/>
      <c r="P13" s="99" t="s">
        <v>64</v>
      </c>
      <c r="Q13" s="99"/>
    </row>
    <row r="14" s="1" customFormat="1" ht="48" customHeight="1" spans="1:18">
      <c r="A14" s="54" t="s">
        <v>65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="4" customFormat="1" ht="40" customHeight="1" spans="1:18">
      <c r="A15" s="55"/>
      <c r="B15" s="55"/>
      <c r="C15" s="55"/>
      <c r="D15" s="56" t="s">
        <v>66</v>
      </c>
      <c r="E15" s="57" t="s">
        <v>145</v>
      </c>
      <c r="F15" s="58"/>
      <c r="G15" s="58"/>
      <c r="H15" s="58"/>
      <c r="I15" s="58"/>
      <c r="J15" s="55" t="s">
        <v>67</v>
      </c>
      <c r="K15" s="55"/>
      <c r="L15" s="57"/>
      <c r="M15" s="57"/>
      <c r="N15" s="58"/>
      <c r="O15" s="58"/>
      <c r="P15" s="59"/>
      <c r="Q15" s="55"/>
      <c r="R15" s="55"/>
    </row>
    <row r="16" s="4" customFormat="1" ht="40" customHeight="1" spans="1:18">
      <c r="A16" s="55"/>
      <c r="B16" s="55"/>
      <c r="C16" s="55"/>
      <c r="D16" s="56" t="s">
        <v>68</v>
      </c>
      <c r="E16" s="122">
        <v>46038</v>
      </c>
      <c r="F16" s="123"/>
      <c r="G16" s="58"/>
      <c r="H16" s="58"/>
      <c r="I16" s="58"/>
      <c r="J16" s="55" t="s">
        <v>68</v>
      </c>
      <c r="K16" s="55"/>
      <c r="L16" s="60"/>
      <c r="M16" s="60"/>
      <c r="N16" s="58"/>
      <c r="O16" s="58"/>
      <c r="P16" s="59"/>
      <c r="Q16" s="55"/>
      <c r="R16" s="55"/>
    </row>
    <row r="17" s="1" customFormat="1" spans="1:16">
      <c r="D17" s="2"/>
      <c r="P17" s="2"/>
    </row>
    <row r="18" s="1" customFormat="1" ht="22.5" spans="1:16">
      <c r="A18" s="61"/>
      <c r="B18" s="61"/>
      <c r="C18" s="61"/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  <c r="P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</sheetData>
  <mergeCells count="53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P5:Q5"/>
    <mergeCell ref="E6:G6"/>
    <mergeCell ref="H6:I6"/>
    <mergeCell ref="P6:Q6"/>
    <mergeCell ref="E7:F7"/>
    <mergeCell ref="H7:I7"/>
    <mergeCell ref="P7:Q7"/>
    <mergeCell ref="E8:G8"/>
    <mergeCell ref="H8:I8"/>
    <mergeCell ref="P8:Q8"/>
    <mergeCell ref="E9:F9"/>
    <mergeCell ref="H9:I9"/>
    <mergeCell ref="P9:Q9"/>
    <mergeCell ref="E10:G10"/>
    <mergeCell ref="H10:I10"/>
    <mergeCell ref="P10:Q10"/>
    <mergeCell ref="E11:G11"/>
    <mergeCell ref="H11:I11"/>
    <mergeCell ref="P11:Q11"/>
    <mergeCell ref="A12:B12"/>
    <mergeCell ref="E12:G12"/>
    <mergeCell ref="H12:I12"/>
    <mergeCell ref="J12:O12"/>
    <mergeCell ref="P12:Q12"/>
    <mergeCell ref="A13:G13"/>
    <mergeCell ref="H13:I13"/>
    <mergeCell ref="J13:O13"/>
    <mergeCell ref="P13:Q13"/>
    <mergeCell ref="A14:Q14"/>
    <mergeCell ref="J15:K15"/>
    <mergeCell ref="Q15:R15"/>
    <mergeCell ref="J16:K16"/>
    <mergeCell ref="Q16:R16"/>
    <mergeCell ref="A5:A8"/>
    <mergeCell ref="A10:A11"/>
  </mergeCells>
  <dataValidations count="1">
    <dataValidation type="list" allowBlank="1" showInputMessage="1" showErrorMessage="1" sqref="H13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4"/>
  <sheetViews>
    <sheetView showGridLines="0" zoomScale="50" zoomScaleNormal="50" workbookViewId="0">
      <selection activeCell="E10" sqref="E10:G10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122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146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147</v>
      </c>
      <c r="E3" s="80"/>
      <c r="F3" s="80"/>
      <c r="G3" s="80"/>
      <c r="H3" s="101" t="s">
        <v>37</v>
      </c>
      <c r="I3" s="101"/>
      <c r="J3" s="101"/>
      <c r="K3" s="101" t="s">
        <v>87</v>
      </c>
      <c r="L3" s="101"/>
      <c r="M3" s="18" t="s">
        <v>125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64" customHeight="1" spans="1:18">
      <c r="A5" s="27" t="s">
        <v>46</v>
      </c>
      <c r="B5" s="28"/>
      <c r="C5" s="29" t="s">
        <v>148</v>
      </c>
      <c r="D5" s="118">
        <v>0.2</v>
      </c>
      <c r="E5" s="30">
        <v>100</v>
      </c>
      <c r="F5" s="31"/>
      <c r="G5" s="32"/>
      <c r="H5" s="70" t="s">
        <v>149</v>
      </c>
      <c r="I5" s="62"/>
      <c r="J5" s="40">
        <v>100</v>
      </c>
      <c r="K5" s="40"/>
      <c r="L5" s="40"/>
      <c r="M5" s="40"/>
      <c r="N5" s="40"/>
      <c r="O5" s="40"/>
      <c r="P5" s="37" t="s">
        <v>150</v>
      </c>
      <c r="Q5" s="37"/>
    </row>
    <row r="6" s="3" customFormat="1" ht="99" customHeight="1" spans="1:18">
      <c r="A6" s="38"/>
      <c r="B6" s="28"/>
      <c r="C6" s="29" t="s">
        <v>151</v>
      </c>
      <c r="D6" s="28">
        <v>0.4</v>
      </c>
      <c r="E6" s="30">
        <v>110</v>
      </c>
      <c r="F6" s="31"/>
      <c r="G6" s="32"/>
      <c r="H6" s="70" t="s">
        <v>152</v>
      </c>
      <c r="I6" s="62"/>
      <c r="J6" s="40">
        <v>95</v>
      </c>
      <c r="K6" s="40"/>
      <c r="L6" s="40"/>
      <c r="M6" s="40"/>
      <c r="N6" s="40"/>
      <c r="O6" s="40"/>
      <c r="P6" s="37" t="s">
        <v>153</v>
      </c>
      <c r="Q6" s="37"/>
    </row>
    <row r="7" s="3" customFormat="1" ht="57" customHeight="1" spans="1:18">
      <c r="A7" s="38"/>
      <c r="B7" s="28"/>
      <c r="C7" s="29" t="s">
        <v>154</v>
      </c>
      <c r="D7" s="28">
        <v>0.2</v>
      </c>
      <c r="E7" s="30">
        <v>100</v>
      </c>
      <c r="F7" s="31"/>
      <c r="G7" s="32"/>
      <c r="H7" s="70" t="s">
        <v>155</v>
      </c>
      <c r="I7" s="62"/>
      <c r="J7" s="40">
        <v>100</v>
      </c>
      <c r="K7" s="40"/>
      <c r="L7" s="40"/>
      <c r="M7" s="40"/>
      <c r="N7" s="40"/>
      <c r="O7" s="40"/>
      <c r="P7" s="37" t="s">
        <v>156</v>
      </c>
      <c r="Q7" s="37"/>
    </row>
    <row r="8" s="3" customFormat="1" ht="76" customHeight="1" spans="1:18">
      <c r="A8" s="40" t="s">
        <v>55</v>
      </c>
      <c r="B8" s="41"/>
      <c r="C8" s="29" t="s">
        <v>56</v>
      </c>
      <c r="D8" s="28">
        <v>0.1</v>
      </c>
      <c r="E8" s="30">
        <v>100</v>
      </c>
      <c r="F8" s="31"/>
      <c r="G8" s="32"/>
      <c r="H8" s="70" t="s">
        <v>157</v>
      </c>
      <c r="I8" s="62"/>
      <c r="J8" s="40">
        <v>100</v>
      </c>
      <c r="K8" s="40"/>
      <c r="L8" s="40"/>
      <c r="M8" s="40"/>
      <c r="N8" s="40"/>
      <c r="O8" s="40"/>
      <c r="P8" s="37" t="s">
        <v>158</v>
      </c>
      <c r="Q8" s="37"/>
    </row>
    <row r="9" s="3" customFormat="1" ht="90" customHeight="1" spans="1:18">
      <c r="A9" s="40"/>
      <c r="B9" s="42"/>
      <c r="C9" s="29" t="s">
        <v>58</v>
      </c>
      <c r="D9" s="28">
        <v>0.1</v>
      </c>
      <c r="E9" s="30">
        <v>100</v>
      </c>
      <c r="F9" s="31"/>
      <c r="G9" s="32"/>
      <c r="H9" s="70" t="s">
        <v>159</v>
      </c>
      <c r="I9" s="62"/>
      <c r="J9" s="40">
        <v>100</v>
      </c>
      <c r="K9" s="40"/>
      <c r="L9" s="40"/>
      <c r="M9" s="40"/>
      <c r="N9" s="40"/>
      <c r="O9" s="40"/>
      <c r="P9" s="37" t="s">
        <v>160</v>
      </c>
      <c r="Q9" s="37"/>
    </row>
    <row r="10" s="1" customFormat="1" ht="49" customHeight="1" spans="1:18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104</v>
      </c>
      <c r="F10" s="96"/>
      <c r="G10" s="97"/>
      <c r="H10" s="45"/>
      <c r="I10" s="45"/>
      <c r="J10" s="46" cm="1">
        <f t="array" ref="J10">SUMPRODUCT(D5:D9,J5:J9)</f>
        <v>98</v>
      </c>
      <c r="K10" s="47"/>
      <c r="L10" s="47"/>
      <c r="M10" s="47"/>
      <c r="N10" s="47"/>
      <c r="O10" s="48"/>
      <c r="P10" s="46"/>
      <c r="Q10" s="48"/>
    </row>
    <row r="11" s="1" customFormat="1" ht="46" customHeight="1" spans="1:18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8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8">
      <c r="A13" s="55"/>
      <c r="B13" s="55"/>
      <c r="C13" s="55"/>
      <c r="D13" s="56" t="s">
        <v>66</v>
      </c>
      <c r="E13" s="57" t="s">
        <v>146</v>
      </c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5"/>
      <c r="R13" s="55"/>
    </row>
    <row r="14" s="4" customFormat="1" ht="40" customHeight="1" spans="1:18">
      <c r="A14" s="55"/>
      <c r="B14" s="55"/>
      <c r="C14" s="55"/>
      <c r="D14" s="56" t="s">
        <v>68</v>
      </c>
      <c r="E14" s="119">
        <v>46038</v>
      </c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5"/>
      <c r="R14" s="55"/>
    </row>
    <row r="15" s="1" customFormat="1" spans="1:18">
      <c r="D15" s="2"/>
      <c r="P15" s="2"/>
    </row>
    <row r="16" s="1" customFormat="1" ht="22.5" spans="1:18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2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Q13:R13"/>
    <mergeCell ref="J14:K14"/>
    <mergeCell ref="Q14:R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zoomScale="50" zoomScaleNormal="50" workbookViewId="0">
      <selection activeCell="I16" sqref="I16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161</v>
      </c>
      <c r="E2" s="76"/>
      <c r="F2" s="76"/>
      <c r="G2" s="76"/>
      <c r="H2" s="100" t="s">
        <v>32</v>
      </c>
      <c r="I2" s="100"/>
      <c r="J2" s="100"/>
      <c r="K2" s="100" t="s">
        <v>69</v>
      </c>
      <c r="L2" s="100"/>
      <c r="M2" s="12" t="s">
        <v>162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163</v>
      </c>
      <c r="E3" s="80"/>
      <c r="F3" s="80"/>
      <c r="G3" s="80"/>
      <c r="H3" s="101" t="s">
        <v>37</v>
      </c>
      <c r="I3" s="101"/>
      <c r="J3" s="101"/>
      <c r="K3" s="101" t="s">
        <v>70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72" customHeight="1" spans="1:17">
      <c r="A5" s="27" t="s">
        <v>46</v>
      </c>
      <c r="B5" s="28"/>
      <c r="C5" s="29" t="s">
        <v>164</v>
      </c>
      <c r="D5" s="28">
        <v>0.7</v>
      </c>
      <c r="E5" s="30">
        <v>68</v>
      </c>
      <c r="F5" s="31"/>
      <c r="G5" s="32"/>
      <c r="H5" s="33" t="s">
        <v>165</v>
      </c>
      <c r="I5" s="29"/>
      <c r="J5" s="40">
        <v>91</v>
      </c>
      <c r="K5" s="40"/>
      <c r="L5" s="40"/>
      <c r="M5" s="40"/>
      <c r="N5" s="40"/>
      <c r="O5" s="40"/>
      <c r="P5" s="37" t="s">
        <v>166</v>
      </c>
      <c r="Q5" s="37"/>
    </row>
    <row r="6" s="3" customFormat="1" ht="51" customHeight="1" spans="1:17">
      <c r="A6" s="38"/>
      <c r="B6" s="28"/>
      <c r="C6" s="29" t="s">
        <v>167</v>
      </c>
      <c r="D6" s="28">
        <v>0.1</v>
      </c>
      <c r="E6" s="30">
        <v>8</v>
      </c>
      <c r="F6" s="31"/>
      <c r="G6" s="32"/>
      <c r="H6" s="33" t="s">
        <v>168</v>
      </c>
      <c r="I6" s="29"/>
      <c r="J6" s="40">
        <v>100</v>
      </c>
      <c r="K6" s="40"/>
      <c r="L6" s="40"/>
      <c r="M6" s="40"/>
      <c r="N6" s="40"/>
      <c r="O6" s="40"/>
      <c r="P6" s="37" t="s">
        <v>169</v>
      </c>
      <c r="Q6" s="37"/>
    </row>
    <row r="7" s="3" customFormat="1" ht="54" customHeight="1" spans="1:17">
      <c r="A7" s="38"/>
      <c r="B7" s="28"/>
      <c r="C7" s="29"/>
      <c r="D7" s="28"/>
      <c r="E7" s="30"/>
      <c r="F7" s="31"/>
      <c r="G7" s="32"/>
      <c r="H7" s="33"/>
      <c r="I7" s="29"/>
      <c r="J7" s="40"/>
      <c r="K7" s="40"/>
      <c r="L7" s="40"/>
      <c r="M7" s="40"/>
      <c r="N7" s="40"/>
      <c r="O7" s="40"/>
      <c r="P7" s="37"/>
      <c r="Q7" s="37"/>
    </row>
    <row r="8" s="3" customFormat="1" ht="74" customHeight="1" spans="1:17">
      <c r="A8" s="40" t="s">
        <v>55</v>
      </c>
      <c r="B8" s="41"/>
      <c r="C8" s="29" t="s">
        <v>56</v>
      </c>
      <c r="D8" s="28">
        <v>0.1</v>
      </c>
      <c r="E8" s="30">
        <v>10</v>
      </c>
      <c r="F8" s="31"/>
      <c r="G8" s="32"/>
      <c r="H8" s="33" t="s">
        <v>170</v>
      </c>
      <c r="I8" s="29"/>
      <c r="J8" s="40">
        <v>98</v>
      </c>
      <c r="K8" s="40"/>
      <c r="L8" s="40"/>
      <c r="M8" s="40"/>
      <c r="N8" s="40"/>
      <c r="O8" s="40"/>
      <c r="P8" s="37" t="s">
        <v>171</v>
      </c>
      <c r="Q8" s="37"/>
    </row>
    <row r="9" s="3" customFormat="1" ht="56" customHeight="1" spans="1:17">
      <c r="A9" s="40"/>
      <c r="B9" s="42"/>
      <c r="C9" s="29" t="s">
        <v>58</v>
      </c>
      <c r="D9" s="28">
        <v>0.1</v>
      </c>
      <c r="E9" s="30">
        <v>10</v>
      </c>
      <c r="F9" s="31"/>
      <c r="G9" s="32"/>
      <c r="H9" s="33" t="s">
        <v>172</v>
      </c>
      <c r="I9" s="29"/>
      <c r="J9" s="40">
        <v>95</v>
      </c>
      <c r="K9" s="40"/>
      <c r="L9" s="40"/>
      <c r="M9" s="40"/>
      <c r="N9" s="40"/>
      <c r="O9" s="40"/>
      <c r="P9" s="37" t="s">
        <v>173</v>
      </c>
      <c r="Q9" s="37"/>
    </row>
    <row r="10" s="1" customFormat="1" ht="49" customHeight="1" spans="1:17">
      <c r="A10" s="43" t="s">
        <v>60</v>
      </c>
      <c r="B10" s="44"/>
      <c r="C10" s="44"/>
      <c r="D10" s="45">
        <f>SUM(D5:D9)</f>
        <v>1</v>
      </c>
      <c r="E10" s="95">
        <f>SUM(E5:G9)</f>
        <v>96</v>
      </c>
      <c r="F10" s="96"/>
      <c r="G10" s="97"/>
      <c r="H10" s="45"/>
      <c r="I10" s="45"/>
      <c r="J10" s="46" cm="1">
        <f t="array" ref="J10">SUMPRODUCT(D5:D9,J5:J9)</f>
        <v>93</v>
      </c>
      <c r="K10" s="47"/>
      <c r="L10" s="47"/>
      <c r="M10" s="47"/>
      <c r="N10" s="47"/>
      <c r="O10" s="48"/>
      <c r="P10" s="46"/>
      <c r="Q10" s="48"/>
    </row>
    <row r="11" s="1" customFormat="1" ht="46" customHeight="1" spans="1:17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7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7">
      <c r="A13" s="55"/>
      <c r="B13" s="55"/>
      <c r="C13" s="55"/>
      <c r="D13" s="56" t="s">
        <v>66</v>
      </c>
      <c r="E13" s="57"/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8"/>
    </row>
    <row r="14" s="4" customFormat="1" ht="40" customHeight="1" spans="1:17">
      <c r="A14" s="55"/>
      <c r="B14" s="55"/>
      <c r="C14" s="55"/>
      <c r="D14" s="56" t="s">
        <v>68</v>
      </c>
      <c r="E14" s="57"/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8"/>
    </row>
    <row r="15" s="1" customFormat="1" spans="1:17">
      <c r="D15" s="2"/>
      <c r="P15" s="2"/>
    </row>
    <row r="16" s="1" customFormat="1" ht="22.5" spans="1:17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J14:K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4"/>
  <sheetViews>
    <sheetView showGridLines="0" zoomScale="55" zoomScaleNormal="55" workbookViewId="0">
      <selection activeCell="J5" sqref="J5:O5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174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175</v>
      </c>
      <c r="E3" s="80"/>
      <c r="F3" s="80"/>
      <c r="G3" s="80"/>
      <c r="H3" s="101" t="s">
        <v>37</v>
      </c>
      <c r="I3" s="101"/>
      <c r="J3" s="101"/>
      <c r="K3" s="101" t="s">
        <v>176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64" customHeight="1" spans="1:18">
      <c r="A5" s="27" t="s">
        <v>46</v>
      </c>
      <c r="B5" s="28"/>
      <c r="C5" s="29" t="s">
        <v>177</v>
      </c>
      <c r="D5" s="28">
        <v>0.1</v>
      </c>
      <c r="E5" s="30">
        <v>110</v>
      </c>
      <c r="F5" s="31"/>
      <c r="G5" s="32"/>
      <c r="H5" s="33" t="s">
        <v>178</v>
      </c>
      <c r="I5" s="29"/>
      <c r="J5" s="39">
        <v>95</v>
      </c>
      <c r="K5" s="39"/>
      <c r="L5" s="39"/>
      <c r="M5" s="39"/>
      <c r="N5" s="39"/>
      <c r="O5" s="39"/>
      <c r="P5" s="71" t="s">
        <v>179</v>
      </c>
      <c r="Q5" s="71"/>
    </row>
    <row r="6" s="3" customFormat="1" ht="51" customHeight="1" spans="1:18">
      <c r="A6" s="38"/>
      <c r="B6" s="28"/>
      <c r="C6" s="29" t="s">
        <v>180</v>
      </c>
      <c r="D6" s="28">
        <v>0.4</v>
      </c>
      <c r="E6" s="30">
        <v>115</v>
      </c>
      <c r="F6" s="31"/>
      <c r="G6" s="32"/>
      <c r="H6" s="33" t="s">
        <v>181</v>
      </c>
      <c r="I6" s="29"/>
      <c r="J6" s="39">
        <v>95</v>
      </c>
      <c r="K6" s="39"/>
      <c r="L6" s="39"/>
      <c r="M6" s="39"/>
      <c r="N6" s="39"/>
      <c r="O6" s="39"/>
      <c r="P6" s="71" t="s">
        <v>182</v>
      </c>
      <c r="Q6" s="71"/>
    </row>
    <row r="7" s="3" customFormat="1" ht="54" customHeight="1" spans="1:18">
      <c r="A7" s="38"/>
      <c r="B7" s="28"/>
      <c r="C7" s="29" t="s">
        <v>183</v>
      </c>
      <c r="D7" s="28">
        <v>0.3</v>
      </c>
      <c r="E7" s="30">
        <v>110</v>
      </c>
      <c r="F7" s="31"/>
      <c r="G7" s="32"/>
      <c r="H7" s="33" t="s">
        <v>184</v>
      </c>
      <c r="I7" s="29"/>
      <c r="J7" s="39">
        <v>93</v>
      </c>
      <c r="K7" s="39"/>
      <c r="L7" s="39"/>
      <c r="M7" s="39"/>
      <c r="N7" s="39"/>
      <c r="O7" s="39"/>
      <c r="P7" s="71" t="s">
        <v>185</v>
      </c>
      <c r="Q7" s="71"/>
    </row>
    <row r="8" s="3" customFormat="1" ht="54" customHeight="1" spans="1:18">
      <c r="A8" s="40" t="s">
        <v>55</v>
      </c>
      <c r="B8" s="41"/>
      <c r="C8" s="29" t="s">
        <v>56</v>
      </c>
      <c r="D8" s="28">
        <v>0.1</v>
      </c>
      <c r="E8" s="30">
        <v>100</v>
      </c>
      <c r="F8" s="31"/>
      <c r="G8" s="32"/>
      <c r="H8" s="33"/>
      <c r="I8" s="29" t="s">
        <v>186</v>
      </c>
      <c r="J8" s="39">
        <v>95</v>
      </c>
      <c r="K8" s="39"/>
      <c r="L8" s="39"/>
      <c r="M8" s="39"/>
      <c r="N8" s="39"/>
      <c r="O8" s="39"/>
      <c r="P8" s="71" t="s">
        <v>187</v>
      </c>
      <c r="Q8" s="71"/>
    </row>
    <row r="9" s="3" customFormat="1" ht="56" customHeight="1" spans="1:18">
      <c r="A9" s="40"/>
      <c r="B9" s="42"/>
      <c r="C9" s="29" t="s">
        <v>58</v>
      </c>
      <c r="D9" s="28">
        <v>0.1</v>
      </c>
      <c r="E9" s="30">
        <v>100</v>
      </c>
      <c r="F9" s="31"/>
      <c r="G9" s="32"/>
      <c r="H9" s="33" t="s">
        <v>188</v>
      </c>
      <c r="I9" s="29"/>
      <c r="J9" s="39">
        <v>95</v>
      </c>
      <c r="K9" s="39"/>
      <c r="L9" s="39"/>
      <c r="M9" s="39"/>
      <c r="N9" s="39"/>
      <c r="O9" s="39"/>
      <c r="P9" s="71" t="s">
        <v>189</v>
      </c>
      <c r="Q9" s="71"/>
    </row>
    <row r="10" s="1" customFormat="1" ht="49" customHeight="1" spans="1:18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110</v>
      </c>
      <c r="F10" s="96"/>
      <c r="G10" s="97"/>
      <c r="H10" s="45"/>
      <c r="I10" s="45"/>
      <c r="J10" s="46" cm="1">
        <f t="array" ref="J10">SUMPRODUCT(D5:D9,J5:J9)</f>
        <v>94.4</v>
      </c>
      <c r="K10" s="47"/>
      <c r="L10" s="47"/>
      <c r="M10" s="47"/>
      <c r="N10" s="47"/>
      <c r="O10" s="48"/>
      <c r="P10" s="46"/>
      <c r="Q10" s="48"/>
    </row>
    <row r="11" s="1" customFormat="1" ht="46" customHeight="1" spans="1:18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8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8">
      <c r="A13" s="55"/>
      <c r="B13" s="55"/>
      <c r="C13" s="55"/>
      <c r="D13" s="56" t="s">
        <v>66</v>
      </c>
      <c r="E13" s="57" t="s">
        <v>174</v>
      </c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5"/>
      <c r="R13" s="55"/>
    </row>
    <row r="14" s="4" customFormat="1" ht="40" customHeight="1" spans="1:18">
      <c r="A14" s="55"/>
      <c r="B14" s="55"/>
      <c r="C14" s="55"/>
      <c r="D14" s="56" t="s">
        <v>68</v>
      </c>
      <c r="E14" s="57">
        <v>20260119</v>
      </c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5"/>
      <c r="R14" s="55"/>
    </row>
    <row r="15" s="1" customFormat="1" spans="1:18">
      <c r="D15" s="2"/>
      <c r="P15" s="2"/>
    </row>
    <row r="16" s="1" customFormat="1" ht="22.5" spans="1:18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1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Q13:R13"/>
    <mergeCell ref="J14:K14"/>
    <mergeCell ref="Q14:R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zoomScale="50" zoomScaleNormal="50" workbookViewId="0">
      <selection activeCell="J8" sqref="J8:O8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190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191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192</v>
      </c>
      <c r="E3" s="80"/>
      <c r="F3" s="80"/>
      <c r="G3" s="80"/>
      <c r="H3" s="101" t="s">
        <v>37</v>
      </c>
      <c r="I3" s="101"/>
      <c r="J3" s="101"/>
      <c r="K3" s="101" t="s">
        <v>193</v>
      </c>
      <c r="L3" s="101"/>
      <c r="M3" s="18" t="s">
        <v>194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41" customHeight="1" spans="1:17">
      <c r="A5" s="27" t="s">
        <v>46</v>
      </c>
      <c r="B5" s="28"/>
      <c r="C5" s="29" t="s">
        <v>195</v>
      </c>
      <c r="D5" s="28">
        <v>0.4</v>
      </c>
      <c r="E5" s="30">
        <v>100</v>
      </c>
      <c r="F5" s="31"/>
      <c r="G5" s="32"/>
      <c r="H5" s="70" t="s">
        <v>196</v>
      </c>
      <c r="I5" s="62"/>
      <c r="J5" s="39">
        <v>85</v>
      </c>
      <c r="K5" s="39"/>
      <c r="L5" s="39"/>
      <c r="M5" s="39"/>
      <c r="N5" s="39"/>
      <c r="O5" s="39"/>
      <c r="P5" s="71" t="s">
        <v>197</v>
      </c>
      <c r="Q5" s="71"/>
    </row>
    <row r="6" s="3" customFormat="1" ht="103" customHeight="1" spans="1:17">
      <c r="A6" s="38"/>
      <c r="B6" s="28"/>
      <c r="C6" s="29" t="s">
        <v>198</v>
      </c>
      <c r="D6" s="28">
        <v>0.3</v>
      </c>
      <c r="E6" s="30">
        <v>120</v>
      </c>
      <c r="F6" s="31"/>
      <c r="G6" s="32"/>
      <c r="H6" s="70" t="s">
        <v>199</v>
      </c>
      <c r="I6" s="62"/>
      <c r="J6" s="39">
        <v>90</v>
      </c>
      <c r="K6" s="39"/>
      <c r="L6" s="39"/>
      <c r="M6" s="39"/>
      <c r="N6" s="39"/>
      <c r="O6" s="39"/>
      <c r="P6" s="71" t="s">
        <v>200</v>
      </c>
      <c r="Q6" s="71"/>
    </row>
    <row r="7" s="3" customFormat="1" ht="79" customHeight="1" spans="1:17">
      <c r="A7" s="38"/>
      <c r="B7" s="28"/>
      <c r="C7" s="29" t="s">
        <v>201</v>
      </c>
      <c r="D7" s="28">
        <v>0.1</v>
      </c>
      <c r="E7" s="30">
        <v>120</v>
      </c>
      <c r="F7" s="31"/>
      <c r="G7" s="32"/>
      <c r="H7" s="70" t="s">
        <v>202</v>
      </c>
      <c r="I7" s="62"/>
      <c r="J7" s="39">
        <v>90</v>
      </c>
      <c r="K7" s="39"/>
      <c r="L7" s="39"/>
      <c r="M7" s="39"/>
      <c r="N7" s="39"/>
      <c r="O7" s="39"/>
      <c r="P7" s="71"/>
      <c r="Q7" s="71"/>
    </row>
    <row r="8" s="3" customFormat="1" ht="54" customHeight="1" spans="1:17">
      <c r="A8" s="40" t="s">
        <v>55</v>
      </c>
      <c r="B8" s="41"/>
      <c r="C8" s="29" t="s">
        <v>56</v>
      </c>
      <c r="D8" s="28">
        <v>0.1</v>
      </c>
      <c r="E8" s="30">
        <v>120</v>
      </c>
      <c r="F8" s="31"/>
      <c r="G8" s="32"/>
      <c r="H8" s="33"/>
      <c r="I8" s="29"/>
      <c r="J8" s="39">
        <v>88</v>
      </c>
      <c r="K8" s="39"/>
      <c r="L8" s="39"/>
      <c r="M8" s="39"/>
      <c r="N8" s="39"/>
      <c r="O8" s="39"/>
      <c r="P8" s="71" t="s">
        <v>203</v>
      </c>
      <c r="Q8" s="71"/>
    </row>
    <row r="9" s="3" customFormat="1" ht="56" customHeight="1" spans="1:17">
      <c r="A9" s="40"/>
      <c r="B9" s="42"/>
      <c r="C9" s="29" t="s">
        <v>58</v>
      </c>
      <c r="D9" s="28">
        <v>0.1</v>
      </c>
      <c r="E9" s="30">
        <v>100</v>
      </c>
      <c r="F9" s="31"/>
      <c r="G9" s="32"/>
      <c r="H9" s="70"/>
      <c r="I9" s="62"/>
      <c r="J9" s="39">
        <v>95</v>
      </c>
      <c r="K9" s="39"/>
      <c r="L9" s="39"/>
      <c r="M9" s="39"/>
      <c r="N9" s="39"/>
      <c r="O9" s="39"/>
      <c r="P9" s="114"/>
      <c r="Q9" s="114"/>
    </row>
    <row r="10" s="1" customFormat="1" ht="49" customHeight="1" spans="1:17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110</v>
      </c>
      <c r="F10" s="96"/>
      <c r="G10" s="97"/>
      <c r="H10" s="45"/>
      <c r="I10" s="45"/>
      <c r="J10" s="49" cm="1">
        <f t="array" ref="J10">SUMPRODUCT(D5:D9,J5:J9)</f>
        <v>88.3</v>
      </c>
      <c r="K10" s="50"/>
      <c r="L10" s="50"/>
      <c r="M10" s="50"/>
      <c r="N10" s="50"/>
      <c r="O10" s="51"/>
      <c r="P10" s="46"/>
      <c r="Q10" s="48"/>
    </row>
    <row r="11" s="1" customFormat="1" ht="46" customHeight="1" spans="1:17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7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7">
      <c r="A13" s="55"/>
      <c r="B13" s="55"/>
      <c r="C13" s="55"/>
      <c r="D13" s="56" t="s">
        <v>66</v>
      </c>
      <c r="E13" s="57"/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8"/>
    </row>
    <row r="14" s="4" customFormat="1" ht="40" customHeight="1" spans="1:17">
      <c r="A14" s="55"/>
      <c r="B14" s="55"/>
      <c r="C14" s="55"/>
      <c r="D14" s="56" t="s">
        <v>68</v>
      </c>
      <c r="E14" s="57"/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8"/>
    </row>
    <row r="15" s="1" customFormat="1" spans="1:17">
      <c r="D15" s="2"/>
      <c r="P15" s="2"/>
    </row>
    <row r="16" s="1" customFormat="1" ht="22.5" spans="1:17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J14:K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R34"/>
  <sheetViews>
    <sheetView showGridLines="0" zoomScale="55" zoomScaleNormal="55" topLeftCell="A6" workbookViewId="0">
      <selection activeCell="J8" sqref="J8:O8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024 1025:16372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024 1025:16372">
      <c r="A2" s="7" t="s">
        <v>30</v>
      </c>
      <c r="B2" s="8"/>
      <c r="C2" s="9"/>
      <c r="D2" s="76" t="s">
        <v>204</v>
      </c>
      <c r="E2" s="76"/>
      <c r="F2" s="76"/>
      <c r="G2" s="76"/>
      <c r="H2" s="100" t="s">
        <v>32</v>
      </c>
      <c r="I2" s="100"/>
      <c r="J2" s="100"/>
      <c r="K2" s="100" t="s">
        <v>205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024 1025:16372">
      <c r="A3" s="13" t="s">
        <v>35</v>
      </c>
      <c r="B3" s="14"/>
      <c r="C3" s="15"/>
      <c r="D3" s="80" t="s">
        <v>206</v>
      </c>
      <c r="E3" s="80"/>
      <c r="F3" s="80"/>
      <c r="G3" s="80"/>
      <c r="H3" s="101" t="s">
        <v>37</v>
      </c>
      <c r="I3" s="101"/>
      <c r="J3" s="101"/>
      <c r="K3" s="101" t="s">
        <v>193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024 1025:16372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115" customFormat="1" ht="261" customHeight="1" spans="1:1024 1025:16372">
      <c r="A5" s="116" t="s">
        <v>46</v>
      </c>
      <c r="B5" s="117"/>
      <c r="C5" s="62" t="s">
        <v>207</v>
      </c>
      <c r="D5" s="28">
        <v>0.3</v>
      </c>
      <c r="E5" s="30">
        <v>120</v>
      </c>
      <c r="F5" s="31"/>
      <c r="G5" s="32"/>
      <c r="H5" s="70" t="s">
        <v>208</v>
      </c>
      <c r="I5" s="62"/>
      <c r="J5" s="39">
        <v>95</v>
      </c>
      <c r="K5" s="39"/>
      <c r="L5" s="39"/>
      <c r="M5" s="39"/>
      <c r="N5" s="39"/>
      <c r="O5" s="39"/>
      <c r="P5" s="71" t="s">
        <v>209</v>
      </c>
      <c r="Q5" s="7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</row>
    <row r="6" s="3" customFormat="1" ht="181" customHeight="1" spans="1:1024 1025:16372">
      <c r="A6" s="38"/>
      <c r="B6" s="28"/>
      <c r="C6" s="62" t="s">
        <v>210</v>
      </c>
      <c r="D6" s="28">
        <v>0.3</v>
      </c>
      <c r="E6" s="30">
        <v>115</v>
      </c>
      <c r="F6" s="31"/>
      <c r="G6" s="32"/>
      <c r="H6" s="70" t="s">
        <v>211</v>
      </c>
      <c r="I6" s="62"/>
      <c r="J6" s="39">
        <v>95</v>
      </c>
      <c r="K6" s="39"/>
      <c r="L6" s="39"/>
      <c r="M6" s="39"/>
      <c r="N6" s="39"/>
      <c r="O6" s="39"/>
      <c r="P6" s="71" t="s">
        <v>212</v>
      </c>
      <c r="Q6" s="71"/>
    </row>
    <row r="7" s="3" customFormat="1" ht="192" customHeight="1" spans="1:1024 1025:16372">
      <c r="A7" s="38"/>
      <c r="B7" s="41"/>
      <c r="C7" s="62" t="s">
        <v>213</v>
      </c>
      <c r="D7" s="28">
        <v>0.2</v>
      </c>
      <c r="E7" s="30">
        <v>110</v>
      </c>
      <c r="F7" s="31"/>
      <c r="G7" s="32"/>
      <c r="H7" s="70" t="s">
        <v>214</v>
      </c>
      <c r="I7" s="62"/>
      <c r="J7" s="39"/>
      <c r="K7" s="35">
        <v>90</v>
      </c>
      <c r="L7" s="36"/>
      <c r="M7" s="39"/>
      <c r="N7" s="39"/>
      <c r="O7" s="39"/>
      <c r="P7" s="72" t="s">
        <v>215</v>
      </c>
      <c r="Q7" s="73"/>
    </row>
    <row r="8" s="3" customFormat="1" ht="114" customHeight="1" spans="1:1024 1025:16372">
      <c r="A8" s="40" t="s">
        <v>55</v>
      </c>
      <c r="B8" s="41"/>
      <c r="C8" s="29" t="s">
        <v>56</v>
      </c>
      <c r="D8" s="28">
        <v>0.1</v>
      </c>
      <c r="E8" s="30">
        <v>120</v>
      </c>
      <c r="F8" s="31"/>
      <c r="G8" s="32"/>
      <c r="H8" s="70" t="s">
        <v>216</v>
      </c>
      <c r="I8" s="62"/>
      <c r="J8" s="39">
        <v>100</v>
      </c>
      <c r="K8" s="39"/>
      <c r="L8" s="39"/>
      <c r="M8" s="39"/>
      <c r="N8" s="39"/>
      <c r="O8" s="39"/>
      <c r="P8" s="68"/>
      <c r="Q8" s="68"/>
    </row>
    <row r="9" s="3" customFormat="1" ht="157" customHeight="1" spans="1:1024 1025:16372">
      <c r="A9" s="40"/>
      <c r="B9" s="42"/>
      <c r="C9" s="29" t="s">
        <v>58</v>
      </c>
      <c r="D9" s="28">
        <v>0.1</v>
      </c>
      <c r="E9" s="30">
        <v>115</v>
      </c>
      <c r="F9" s="31"/>
      <c r="G9" s="32"/>
      <c r="H9" s="70" t="s">
        <v>217</v>
      </c>
      <c r="I9" s="62"/>
      <c r="J9" s="39">
        <v>100</v>
      </c>
      <c r="K9" s="39"/>
      <c r="L9" s="39"/>
      <c r="M9" s="39"/>
      <c r="N9" s="39"/>
      <c r="O9" s="39"/>
      <c r="P9" s="68"/>
      <c r="Q9" s="68"/>
    </row>
    <row r="10" s="1" customFormat="1" ht="49" customHeight="1" spans="1:1024 1025:16372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116</v>
      </c>
      <c r="F10" s="96"/>
      <c r="G10" s="97"/>
      <c r="H10" s="45"/>
      <c r="I10" s="45"/>
      <c r="J10" s="46">
        <f>D5*J5+D6*J6+D7*K7+D8*J8+D9*J9</f>
        <v>95</v>
      </c>
      <c r="K10" s="47"/>
      <c r="L10" s="47"/>
      <c r="M10" s="47"/>
      <c r="N10" s="47"/>
      <c r="O10" s="48"/>
      <c r="P10" s="46"/>
      <c r="Q10" s="48"/>
    </row>
    <row r="11" s="1" customFormat="1" ht="46" customHeight="1" spans="1:1024 1025:16372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024 1025:16372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024 1025:16372">
      <c r="A13" s="55"/>
      <c r="B13" s="55"/>
      <c r="C13" s="55"/>
      <c r="D13" s="56" t="s">
        <v>66</v>
      </c>
      <c r="E13" s="57"/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5"/>
      <c r="R13" s="55"/>
    </row>
    <row r="14" s="4" customFormat="1" ht="40" customHeight="1" spans="1:1024 1025:16372">
      <c r="A14" s="55"/>
      <c r="B14" s="55"/>
      <c r="C14" s="55"/>
      <c r="D14" s="56" t="s">
        <v>68</v>
      </c>
      <c r="E14" s="57"/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5"/>
      <c r="R14" s="55"/>
    </row>
    <row r="15" s="1" customFormat="1" spans="1:1024 1025:16372">
      <c r="D15" s="2"/>
      <c r="P15" s="2"/>
    </row>
    <row r="16" s="1" customFormat="1" ht="22.5" spans="1:1024 1025:16372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2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F7"/>
    <mergeCell ref="H7:I7"/>
    <mergeCell ref="K7:L7"/>
    <mergeCell ref="P7:Q7"/>
    <mergeCell ref="E8:F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Q13:R13"/>
    <mergeCell ref="J14:K14"/>
    <mergeCell ref="Q14:R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zoomScale="50" zoomScaleNormal="50" topLeftCell="A4" workbookViewId="0">
      <selection activeCell="P7" sqref="P7:Q7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218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219</v>
      </c>
      <c r="E3" s="80"/>
      <c r="F3" s="80"/>
      <c r="G3" s="80"/>
      <c r="H3" s="101" t="s">
        <v>37</v>
      </c>
      <c r="I3" s="101"/>
      <c r="J3" s="101"/>
      <c r="K3" s="101" t="s">
        <v>71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97" customHeight="1" spans="1:17">
      <c r="A5" s="27" t="s">
        <v>46</v>
      </c>
      <c r="B5" s="28"/>
      <c r="C5" s="29" t="s">
        <v>220</v>
      </c>
      <c r="D5" s="28">
        <v>0.3</v>
      </c>
      <c r="E5" s="30">
        <v>107</v>
      </c>
      <c r="F5" s="31"/>
      <c r="G5" s="32"/>
      <c r="H5" s="70" t="s">
        <v>221</v>
      </c>
      <c r="I5" s="62"/>
      <c r="J5" s="39">
        <v>85</v>
      </c>
      <c r="K5" s="39"/>
      <c r="L5" s="39"/>
      <c r="M5" s="39"/>
      <c r="N5" s="39"/>
      <c r="O5" s="39"/>
      <c r="P5" s="114" t="s">
        <v>222</v>
      </c>
      <c r="Q5" s="114"/>
    </row>
    <row r="6" s="3" customFormat="1" ht="174" customHeight="1" spans="1:17">
      <c r="A6" s="38"/>
      <c r="B6" s="28"/>
      <c r="C6" s="29" t="s">
        <v>223</v>
      </c>
      <c r="D6" s="28">
        <v>0.3</v>
      </c>
      <c r="E6" s="30">
        <v>110</v>
      </c>
      <c r="F6" s="31"/>
      <c r="G6" s="32"/>
      <c r="H6" s="70" t="s">
        <v>224</v>
      </c>
      <c r="I6" s="62"/>
      <c r="J6" s="39">
        <v>95</v>
      </c>
      <c r="K6" s="39"/>
      <c r="L6" s="39"/>
      <c r="M6" s="39"/>
      <c r="N6" s="39"/>
      <c r="O6" s="39"/>
      <c r="P6" s="114" t="s">
        <v>225</v>
      </c>
      <c r="Q6" s="114"/>
    </row>
    <row r="7" s="3" customFormat="1" ht="122" customHeight="1" spans="1:17">
      <c r="A7" s="38"/>
      <c r="B7" s="28"/>
      <c r="C7" s="29" t="s">
        <v>226</v>
      </c>
      <c r="D7" s="28">
        <v>0.2</v>
      </c>
      <c r="E7" s="30">
        <v>105</v>
      </c>
      <c r="F7" s="31"/>
      <c r="G7" s="32"/>
      <c r="H7" s="70" t="s">
        <v>227</v>
      </c>
      <c r="I7" s="62"/>
      <c r="J7" s="39">
        <v>90</v>
      </c>
      <c r="K7" s="39"/>
      <c r="L7" s="39"/>
      <c r="M7" s="39"/>
      <c r="N7" s="39"/>
      <c r="O7" s="39"/>
      <c r="P7" s="114" t="s">
        <v>228</v>
      </c>
      <c r="Q7" s="114"/>
    </row>
    <row r="8" s="3" customFormat="1" ht="121" customHeight="1" spans="1:17">
      <c r="A8" s="40" t="s">
        <v>55</v>
      </c>
      <c r="B8" s="41"/>
      <c r="C8" s="29" t="s">
        <v>56</v>
      </c>
      <c r="D8" s="28">
        <v>0.1</v>
      </c>
      <c r="E8" s="30">
        <v>108</v>
      </c>
      <c r="F8" s="31"/>
      <c r="G8" s="32"/>
      <c r="H8" s="70" t="s">
        <v>229</v>
      </c>
      <c r="I8" s="62"/>
      <c r="J8" s="39">
        <v>98</v>
      </c>
      <c r="K8" s="39"/>
      <c r="L8" s="39"/>
      <c r="M8" s="39"/>
      <c r="N8" s="39"/>
      <c r="O8" s="39"/>
      <c r="P8" s="68"/>
      <c r="Q8" s="68"/>
    </row>
    <row r="9" s="3" customFormat="1" ht="212" customHeight="1" spans="1:17">
      <c r="A9" s="40"/>
      <c r="B9" s="42"/>
      <c r="C9" s="29" t="s">
        <v>58</v>
      </c>
      <c r="D9" s="28">
        <v>0.1</v>
      </c>
      <c r="E9" s="30">
        <v>115</v>
      </c>
      <c r="F9" s="31"/>
      <c r="G9" s="32"/>
      <c r="H9" s="70" t="s">
        <v>230</v>
      </c>
      <c r="I9" s="62"/>
      <c r="J9" s="39">
        <v>95</v>
      </c>
      <c r="K9" s="39"/>
      <c r="L9" s="39"/>
      <c r="M9" s="39"/>
      <c r="N9" s="39"/>
      <c r="O9" s="39"/>
      <c r="P9" s="68"/>
      <c r="Q9" s="68"/>
    </row>
    <row r="10" s="1" customFormat="1" ht="49" customHeight="1" spans="1:17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108.4</v>
      </c>
      <c r="F10" s="96"/>
      <c r="G10" s="97"/>
      <c r="H10" s="45"/>
      <c r="I10" s="45"/>
      <c r="J10" s="49">
        <f>D5*J5+D6*J6+D7*J7+D8*J8+D9*J9</f>
        <v>91.3</v>
      </c>
      <c r="K10" s="50"/>
      <c r="L10" s="50"/>
      <c r="M10" s="50"/>
      <c r="N10" s="50"/>
      <c r="O10" s="51"/>
      <c r="P10" s="46"/>
      <c r="Q10" s="48"/>
    </row>
    <row r="11" s="1" customFormat="1" ht="46" customHeight="1" spans="1:17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7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7">
      <c r="A13" s="55"/>
      <c r="B13" s="55"/>
      <c r="C13" s="55"/>
      <c r="D13" s="56" t="s">
        <v>66</v>
      </c>
      <c r="E13" s="57" t="s">
        <v>218</v>
      </c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8"/>
    </row>
    <row r="14" s="4" customFormat="1" ht="40" customHeight="1" spans="1:17">
      <c r="A14" s="55"/>
      <c r="B14" s="55"/>
      <c r="C14" s="55"/>
      <c r="D14" s="56" t="s">
        <v>68</v>
      </c>
      <c r="E14" s="57" t="s">
        <v>231</v>
      </c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8"/>
    </row>
    <row r="15" s="1" customFormat="1" spans="1:17">
      <c r="D15" s="2"/>
      <c r="P15" s="2"/>
    </row>
    <row r="16" s="1" customFormat="1" ht="22.5" spans="1:17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J14:K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3"/>
  <sheetViews>
    <sheetView showGridLines="0" zoomScale="55" zoomScaleNormal="55" workbookViewId="0">
      <selection activeCell="J6" sqref="J6:O6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232</v>
      </c>
      <c r="E2" s="76"/>
      <c r="F2" s="76"/>
      <c r="G2" s="76"/>
      <c r="H2" s="100" t="s">
        <v>32</v>
      </c>
      <c r="I2" s="100"/>
      <c r="J2" s="100"/>
      <c r="K2" s="100"/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233</v>
      </c>
      <c r="E3" s="80"/>
      <c r="F3" s="80"/>
      <c r="G3" s="80"/>
      <c r="H3" s="101" t="s">
        <v>37</v>
      </c>
      <c r="I3" s="101"/>
      <c r="J3" s="101"/>
      <c r="K3" s="101"/>
      <c r="L3" s="101"/>
      <c r="M3" s="18" t="s">
        <v>72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03" customHeight="1" spans="1:18">
      <c r="A5" s="27" t="s">
        <v>46</v>
      </c>
      <c r="B5" s="28"/>
      <c r="C5" s="29" t="s">
        <v>234</v>
      </c>
      <c r="D5" s="28">
        <v>0.3</v>
      </c>
      <c r="E5" s="30">
        <v>100</v>
      </c>
      <c r="F5" s="31"/>
      <c r="G5" s="32"/>
      <c r="H5" s="70" t="s">
        <v>235</v>
      </c>
      <c r="I5" s="62"/>
      <c r="J5" s="39">
        <v>92</v>
      </c>
      <c r="K5" s="39"/>
      <c r="L5" s="39"/>
      <c r="M5" s="39"/>
      <c r="N5" s="39"/>
      <c r="O5" s="39"/>
      <c r="P5" s="68"/>
      <c r="Q5" s="68"/>
    </row>
    <row r="6" s="3" customFormat="1" ht="133" customHeight="1" spans="1:18">
      <c r="A6" s="38"/>
      <c r="B6" s="28"/>
      <c r="C6" s="29" t="s">
        <v>236</v>
      </c>
      <c r="D6" s="28">
        <v>0.5</v>
      </c>
      <c r="E6" s="30">
        <v>110</v>
      </c>
      <c r="F6" s="31"/>
      <c r="G6" s="32"/>
      <c r="H6" s="70" t="s">
        <v>237</v>
      </c>
      <c r="I6" s="62"/>
      <c r="J6" s="39">
        <v>89</v>
      </c>
      <c r="K6" s="39"/>
      <c r="L6" s="39"/>
      <c r="M6" s="39"/>
      <c r="N6" s="39"/>
      <c r="O6" s="39"/>
      <c r="P6" s="71" t="s">
        <v>238</v>
      </c>
      <c r="Q6" s="71"/>
    </row>
    <row r="7" s="3" customFormat="1" ht="85" customHeight="1" spans="1:18">
      <c r="A7" s="40" t="s">
        <v>55</v>
      </c>
      <c r="B7" s="41"/>
      <c r="C7" s="29" t="s">
        <v>56</v>
      </c>
      <c r="D7" s="28">
        <v>0.1</v>
      </c>
      <c r="E7" s="30">
        <v>120</v>
      </c>
      <c r="F7" s="31"/>
      <c r="G7" s="32"/>
      <c r="H7" s="70" t="s">
        <v>239</v>
      </c>
      <c r="I7" s="62"/>
      <c r="J7" s="39">
        <v>92</v>
      </c>
      <c r="K7" s="39"/>
      <c r="L7" s="39"/>
      <c r="M7" s="39"/>
      <c r="N7" s="39"/>
      <c r="O7" s="39"/>
      <c r="P7" s="71" t="s">
        <v>240</v>
      </c>
      <c r="Q7" s="71"/>
    </row>
    <row r="8" s="3" customFormat="1" ht="92" customHeight="1" spans="1:18">
      <c r="A8" s="40"/>
      <c r="B8" s="42"/>
      <c r="C8" s="29" t="s">
        <v>58</v>
      </c>
      <c r="D8" s="28">
        <v>0.1</v>
      </c>
      <c r="E8" s="30">
        <v>120</v>
      </c>
      <c r="F8" s="31"/>
      <c r="G8" s="32"/>
      <c r="H8" s="70" t="s">
        <v>241</v>
      </c>
      <c r="I8" s="62"/>
      <c r="J8" s="39">
        <v>95</v>
      </c>
      <c r="K8" s="39"/>
      <c r="L8" s="39"/>
      <c r="M8" s="39"/>
      <c r="N8" s="39"/>
      <c r="O8" s="39"/>
      <c r="P8" s="68"/>
      <c r="Q8" s="68"/>
    </row>
    <row r="9" s="1" customFormat="1" ht="49" customHeight="1" spans="1:18">
      <c r="A9" s="43" t="s">
        <v>60</v>
      </c>
      <c r="B9" s="44"/>
      <c r="C9" s="44"/>
      <c r="D9" s="45">
        <f>SUM(D5:D8)</f>
        <v>1</v>
      </c>
      <c r="E9" s="95" cm="1">
        <f t="array" ref="E9">SUMPRODUCT(D5:D8,E5:E8)</f>
        <v>109</v>
      </c>
      <c r="F9" s="96"/>
      <c r="G9" s="97"/>
      <c r="H9" s="45"/>
      <c r="I9" s="45"/>
      <c r="J9" s="49" cm="1">
        <f t="array" ref="J9">SUMPRODUCT(D5:D8,J5:J8)</f>
        <v>90.8</v>
      </c>
      <c r="K9" s="50"/>
      <c r="L9" s="50"/>
      <c r="M9" s="50"/>
      <c r="N9" s="50"/>
      <c r="O9" s="51"/>
      <c r="P9" s="46"/>
      <c r="Q9" s="48"/>
    </row>
    <row r="10" s="1" customFormat="1" ht="46" customHeight="1" spans="1:18">
      <c r="A10" s="52" t="s">
        <v>61</v>
      </c>
      <c r="B10" s="52"/>
      <c r="C10" s="52"/>
      <c r="D10" s="52"/>
      <c r="E10" s="52"/>
      <c r="F10" s="52"/>
      <c r="G10" s="52"/>
      <c r="H10" s="98" t="s">
        <v>62</v>
      </c>
      <c r="I10" s="98"/>
      <c r="J10" s="52" t="s">
        <v>63</v>
      </c>
      <c r="K10" s="52"/>
      <c r="L10" s="52"/>
      <c r="M10" s="52"/>
      <c r="N10" s="52"/>
      <c r="O10" s="52"/>
      <c r="P10" s="99" t="s">
        <v>64</v>
      </c>
      <c r="Q10" s="99"/>
    </row>
    <row r="11" s="1" customFormat="1" ht="48" customHeight="1" spans="1:18">
      <c r="A11" s="54" t="s">
        <v>65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="4" customFormat="1" ht="40" customHeight="1" spans="1:18">
      <c r="A12" s="55"/>
      <c r="B12" s="55"/>
      <c r="C12" s="55"/>
      <c r="D12" s="56" t="s">
        <v>66</v>
      </c>
      <c r="E12" s="57"/>
      <c r="F12" s="58"/>
      <c r="G12" s="58"/>
      <c r="H12" s="58"/>
      <c r="I12" s="58"/>
      <c r="J12" s="55" t="s">
        <v>67</v>
      </c>
      <c r="K12" s="55"/>
      <c r="L12" s="57"/>
      <c r="M12" s="57"/>
      <c r="N12" s="58"/>
      <c r="O12" s="58"/>
      <c r="P12" s="59"/>
      <c r="Q12" s="55"/>
      <c r="R12" s="55"/>
    </row>
    <row r="13" s="4" customFormat="1" ht="40" customHeight="1" spans="1:18">
      <c r="A13" s="55"/>
      <c r="B13" s="55"/>
      <c r="C13" s="55"/>
      <c r="D13" s="56" t="s">
        <v>68</v>
      </c>
      <c r="E13" s="57"/>
      <c r="F13" s="58"/>
      <c r="G13" s="58"/>
      <c r="H13" s="58"/>
      <c r="I13" s="58"/>
      <c r="J13" s="55" t="s">
        <v>68</v>
      </c>
      <c r="K13" s="55"/>
      <c r="L13" s="60"/>
      <c r="M13" s="60"/>
      <c r="N13" s="58"/>
      <c r="O13" s="58"/>
      <c r="P13" s="59"/>
      <c r="Q13" s="55"/>
      <c r="R13" s="55"/>
    </row>
    <row r="14" s="1" customFormat="1" spans="1:18">
      <c r="D14" s="2"/>
      <c r="P14" s="2"/>
    </row>
    <row r="15" s="1" customFormat="1" ht="22.5" spans="1:18">
      <c r="A15" s="61"/>
      <c r="B15" s="61"/>
      <c r="C15" s="61"/>
      <c r="D15" s="2"/>
      <c r="P15" s="2"/>
    </row>
    <row r="16" s="1" customFormat="1" spans="1:18"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</sheetData>
  <mergeCells count="48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F7"/>
    <mergeCell ref="H7:I7"/>
    <mergeCell ref="J7:O7"/>
    <mergeCell ref="P7:Q7"/>
    <mergeCell ref="E8:G8"/>
    <mergeCell ref="H8:I8"/>
    <mergeCell ref="J8:O8"/>
    <mergeCell ref="P8:Q8"/>
    <mergeCell ref="A9:B9"/>
    <mergeCell ref="E9:G9"/>
    <mergeCell ref="H9:I9"/>
    <mergeCell ref="J9:O9"/>
    <mergeCell ref="P9:Q9"/>
    <mergeCell ref="A10:G10"/>
    <mergeCell ref="H10:I10"/>
    <mergeCell ref="J10:O10"/>
    <mergeCell ref="P10:Q10"/>
    <mergeCell ref="A11:Q11"/>
    <mergeCell ref="J12:K12"/>
    <mergeCell ref="Q12:R12"/>
    <mergeCell ref="J13:K13"/>
    <mergeCell ref="Q13:R13"/>
    <mergeCell ref="A5:A6"/>
    <mergeCell ref="A7:A8"/>
  </mergeCells>
  <dataValidations count="1">
    <dataValidation type="list" allowBlank="1" showInputMessage="1" showErrorMessage="1" sqref="H10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4"/>
  <sheetViews>
    <sheetView showGridLines="0" zoomScale="55" zoomScaleNormal="55" workbookViewId="0">
      <selection activeCell="P9" sqref="P9:Q9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2" width="9.55833333333333" style="1"/>
  </cols>
  <sheetData>
    <row r="1" s="1" customFormat="1" ht="57" customHeight="1" spans="1:18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242</v>
      </c>
      <c r="E2" s="76"/>
      <c r="F2" s="76"/>
      <c r="G2" s="76"/>
      <c r="H2" s="100" t="s">
        <v>32</v>
      </c>
      <c r="I2" s="100"/>
      <c r="J2" s="100"/>
      <c r="K2" s="100" t="s">
        <v>205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243</v>
      </c>
      <c r="E3" s="80"/>
      <c r="F3" s="80"/>
      <c r="G3" s="80"/>
      <c r="H3" s="101" t="s">
        <v>37</v>
      </c>
      <c r="I3" s="101"/>
      <c r="J3" s="101"/>
      <c r="K3" s="101" t="s">
        <v>193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64" customHeight="1" spans="1:18">
      <c r="A5" s="27" t="s">
        <v>46</v>
      </c>
      <c r="B5" s="28"/>
      <c r="C5" s="29" t="s">
        <v>244</v>
      </c>
      <c r="D5" s="28">
        <v>0.2</v>
      </c>
      <c r="E5" s="30">
        <v>95</v>
      </c>
      <c r="F5" s="31"/>
      <c r="G5" s="32"/>
      <c r="H5" s="33" t="s">
        <v>245</v>
      </c>
      <c r="I5" s="29"/>
      <c r="J5" s="39">
        <v>85</v>
      </c>
      <c r="K5" s="39"/>
      <c r="L5" s="39"/>
      <c r="M5" s="39"/>
      <c r="N5" s="39"/>
      <c r="O5" s="39"/>
      <c r="P5" s="71" t="s">
        <v>246</v>
      </c>
      <c r="Q5" s="71"/>
    </row>
    <row r="6" s="3" customFormat="1" ht="51" customHeight="1" spans="1:18">
      <c r="A6" s="38"/>
      <c r="B6" s="28"/>
      <c r="C6" s="29" t="s">
        <v>247</v>
      </c>
      <c r="D6" s="28">
        <v>0.3</v>
      </c>
      <c r="E6" s="30">
        <v>98</v>
      </c>
      <c r="F6" s="31"/>
      <c r="G6" s="32"/>
      <c r="H6" s="33" t="s">
        <v>248</v>
      </c>
      <c r="I6" s="29"/>
      <c r="J6" s="39">
        <v>90</v>
      </c>
      <c r="K6" s="39"/>
      <c r="L6" s="39"/>
      <c r="M6" s="39"/>
      <c r="N6" s="39"/>
      <c r="O6" s="39"/>
      <c r="P6" s="68"/>
      <c r="Q6" s="68"/>
    </row>
    <row r="7" s="3" customFormat="1" ht="54" customHeight="1" spans="1:18">
      <c r="A7" s="38"/>
      <c r="B7" s="28"/>
      <c r="C7" s="29" t="s">
        <v>249</v>
      </c>
      <c r="D7" s="28">
        <v>0.3</v>
      </c>
      <c r="E7" s="30">
        <v>99</v>
      </c>
      <c r="F7" s="31"/>
      <c r="G7" s="32"/>
      <c r="H7" s="33" t="s">
        <v>250</v>
      </c>
      <c r="I7" s="29"/>
      <c r="J7" s="39">
        <v>90</v>
      </c>
      <c r="K7" s="39"/>
      <c r="L7" s="39"/>
      <c r="M7" s="39"/>
      <c r="N7" s="39"/>
      <c r="O7" s="39"/>
      <c r="P7" s="71" t="s">
        <v>251</v>
      </c>
      <c r="Q7" s="71"/>
    </row>
    <row r="8" s="3" customFormat="1" ht="54" customHeight="1" spans="1:18">
      <c r="A8" s="40" t="s">
        <v>55</v>
      </c>
      <c r="B8" s="41"/>
      <c r="C8" s="29" t="s">
        <v>56</v>
      </c>
      <c r="D8" s="28">
        <v>0.1</v>
      </c>
      <c r="E8" s="30">
        <v>97</v>
      </c>
      <c r="F8" s="31"/>
      <c r="G8" s="32"/>
      <c r="H8" s="33" t="s">
        <v>252</v>
      </c>
      <c r="I8" s="29"/>
      <c r="J8" s="39">
        <v>95</v>
      </c>
      <c r="K8" s="39"/>
      <c r="L8" s="39"/>
      <c r="M8" s="39"/>
      <c r="N8" s="39"/>
      <c r="O8" s="39"/>
      <c r="P8" s="37"/>
      <c r="Q8" s="37"/>
    </row>
    <row r="9" s="3" customFormat="1" ht="110" customHeight="1" spans="1:18">
      <c r="A9" s="40"/>
      <c r="B9" s="42"/>
      <c r="C9" s="29" t="s">
        <v>58</v>
      </c>
      <c r="D9" s="28">
        <v>0.1</v>
      </c>
      <c r="E9" s="30">
        <v>97</v>
      </c>
      <c r="F9" s="31"/>
      <c r="G9" s="32"/>
      <c r="H9" s="33" t="s">
        <v>253</v>
      </c>
      <c r="I9" s="29"/>
      <c r="J9" s="39">
        <v>90</v>
      </c>
      <c r="K9" s="39"/>
      <c r="L9" s="39"/>
      <c r="M9" s="39"/>
      <c r="N9" s="39"/>
      <c r="O9" s="39"/>
      <c r="P9" s="71" t="s">
        <v>254</v>
      </c>
      <c r="Q9" s="71"/>
    </row>
    <row r="10" s="1" customFormat="1" ht="49" customHeight="1" spans="1:18">
      <c r="A10" s="43" t="s">
        <v>60</v>
      </c>
      <c r="B10" s="44"/>
      <c r="C10" s="44"/>
      <c r="D10" s="45">
        <f>SUM(D5:D9)</f>
        <v>1</v>
      </c>
      <c r="E10" s="95" cm="1">
        <f t="array" ref="E10">SUMPRODUCT(D5:D9,E5:E9)</f>
        <v>97.5</v>
      </c>
      <c r="F10" s="96"/>
      <c r="G10" s="97"/>
      <c r="H10" s="45"/>
      <c r="I10" s="45"/>
      <c r="J10" s="49" cm="1">
        <f t="array" ref="J10">SUMPRODUCT(D5:D9,J5:J9)</f>
        <v>89.5</v>
      </c>
      <c r="K10" s="50"/>
      <c r="L10" s="50"/>
      <c r="M10" s="50"/>
      <c r="N10" s="50"/>
      <c r="O10" s="51"/>
      <c r="P10" s="46"/>
      <c r="Q10" s="48"/>
    </row>
    <row r="11" s="1" customFormat="1" ht="46" customHeight="1" spans="1:18">
      <c r="A11" s="52" t="s">
        <v>61</v>
      </c>
      <c r="B11" s="52"/>
      <c r="C11" s="52"/>
      <c r="D11" s="52"/>
      <c r="E11" s="52"/>
      <c r="F11" s="52"/>
      <c r="G11" s="52"/>
      <c r="H11" s="98" t="s">
        <v>62</v>
      </c>
      <c r="I11" s="98"/>
      <c r="J11" s="52" t="s">
        <v>63</v>
      </c>
      <c r="K11" s="52"/>
      <c r="L11" s="52"/>
      <c r="M11" s="52"/>
      <c r="N11" s="52"/>
      <c r="O11" s="52"/>
      <c r="P11" s="99" t="s">
        <v>64</v>
      </c>
      <c r="Q11" s="99"/>
    </row>
    <row r="12" s="1" customFormat="1" ht="48" customHeight="1" spans="1:18">
      <c r="A12" s="54" t="s">
        <v>65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="4" customFormat="1" ht="40" customHeight="1" spans="1:18">
      <c r="A13" s="55"/>
      <c r="B13" s="55"/>
      <c r="C13" s="55"/>
      <c r="D13" s="56" t="s">
        <v>66</v>
      </c>
      <c r="E13" s="57"/>
      <c r="F13" s="58"/>
      <c r="G13" s="58"/>
      <c r="H13" s="58"/>
      <c r="I13" s="58"/>
      <c r="J13" s="55" t="s">
        <v>67</v>
      </c>
      <c r="K13" s="55"/>
      <c r="L13" s="57"/>
      <c r="M13" s="57"/>
      <c r="N13" s="58"/>
      <c r="O13" s="58"/>
      <c r="P13" s="59"/>
      <c r="Q13" s="55"/>
      <c r="R13" s="55"/>
    </row>
    <row r="14" s="4" customFormat="1" ht="40" customHeight="1" spans="1:18">
      <c r="A14" s="55"/>
      <c r="B14" s="55"/>
      <c r="C14" s="55"/>
      <c r="D14" s="56" t="s">
        <v>68</v>
      </c>
      <c r="E14" s="57"/>
      <c r="F14" s="58"/>
      <c r="G14" s="58"/>
      <c r="H14" s="58"/>
      <c r="I14" s="58"/>
      <c r="J14" s="55" t="s">
        <v>68</v>
      </c>
      <c r="K14" s="55"/>
      <c r="L14" s="60"/>
      <c r="M14" s="60"/>
      <c r="N14" s="58"/>
      <c r="O14" s="58"/>
      <c r="P14" s="59"/>
      <c r="Q14" s="55"/>
      <c r="R14" s="55"/>
    </row>
    <row r="15" s="1" customFormat="1" spans="1:18">
      <c r="D15" s="2"/>
      <c r="P15" s="2"/>
    </row>
    <row r="16" s="1" customFormat="1" ht="22.5" spans="1:18">
      <c r="A16" s="61"/>
      <c r="B16" s="61"/>
      <c r="C16" s="61"/>
      <c r="D16" s="2"/>
      <c r="P16" s="2"/>
    </row>
    <row r="17" s="1" customFormat="1" spans="4:16">
      <c r="D17" s="2"/>
      <c r="P17" s="2"/>
    </row>
    <row r="18" s="1" customFormat="1" spans="4:16">
      <c r="D18" s="2"/>
      <c r="P18" s="2"/>
    </row>
    <row r="19" s="1" customFormat="1" spans="4:16">
      <c r="D19" s="2"/>
      <c r="P19" s="2"/>
    </row>
    <row r="20" s="1" customFormat="1" spans="4:16">
      <c r="D20" s="2"/>
    </row>
    <row r="21" s="1" customFormat="1" spans="4:16">
      <c r="D21" s="2"/>
    </row>
    <row r="22" s="1" customFormat="1" spans="4:16">
      <c r="D22" s="2"/>
    </row>
    <row r="23" s="1" customFormat="1" spans="4:16">
      <c r="D23" s="2"/>
    </row>
    <row r="24" s="1" customFormat="1" spans="4:16">
      <c r="D24" s="2"/>
    </row>
    <row r="25" s="1" customFormat="1" spans="4:16">
      <c r="D25" s="2"/>
    </row>
    <row r="26" s="1" customFormat="1" spans="4:16">
      <c r="D26" s="2"/>
    </row>
    <row r="27" s="1" customFormat="1" spans="4:16">
      <c r="D27" s="2"/>
    </row>
    <row r="28" s="1" customFormat="1" spans="4:16">
      <c r="D28" s="2"/>
    </row>
    <row r="29" s="1" customFormat="1" spans="4:16">
      <c r="D29" s="2"/>
    </row>
    <row r="30" s="1" customFormat="1" spans="4:16">
      <c r="D30" s="2"/>
    </row>
    <row r="31" s="1" customFormat="1" spans="4:16">
      <c r="D31" s="2"/>
    </row>
    <row r="32" s="1" customFormat="1" spans="4:16">
      <c r="D32" s="2"/>
    </row>
    <row r="33" s="1" customFormat="1" spans="4:4">
      <c r="D33" s="2"/>
    </row>
    <row r="34" s="1" customFormat="1" spans="4:4">
      <c r="D34" s="2"/>
    </row>
  </sheetData>
  <mergeCells count="52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O8"/>
    <mergeCell ref="P8:Q8"/>
    <mergeCell ref="E9:G9"/>
    <mergeCell ref="H9:I9"/>
    <mergeCell ref="J9:O9"/>
    <mergeCell ref="P9:Q9"/>
    <mergeCell ref="A10:B10"/>
    <mergeCell ref="E10:G10"/>
    <mergeCell ref="H10:I10"/>
    <mergeCell ref="J10:O10"/>
    <mergeCell ref="P10:Q10"/>
    <mergeCell ref="A11:G11"/>
    <mergeCell ref="H11:I11"/>
    <mergeCell ref="J11:O11"/>
    <mergeCell ref="P11:Q11"/>
    <mergeCell ref="A12:Q12"/>
    <mergeCell ref="J13:K13"/>
    <mergeCell ref="Q13:R13"/>
    <mergeCell ref="J14:K14"/>
    <mergeCell ref="Q14:R14"/>
    <mergeCell ref="A5:A7"/>
    <mergeCell ref="A8:A9"/>
  </mergeCells>
  <dataValidations count="1">
    <dataValidation type="list" allowBlank="1" showInputMessage="1" showErrorMessage="1" sqref="H11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5"/>
  <sheetViews>
    <sheetView showGridLines="0" zoomScale="55" zoomScaleNormal="55" workbookViewId="0">
      <selection activeCell="E5" sqref="E5:G5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6.1333333333333" style="1" customWidth="1"/>
    <col min="4" max="4" width="23.183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255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256</v>
      </c>
      <c r="E3" s="80"/>
      <c r="F3" s="80"/>
      <c r="G3" s="80"/>
      <c r="H3" s="101" t="s">
        <v>37</v>
      </c>
      <c r="I3" s="101"/>
      <c r="J3" s="101"/>
      <c r="K3" s="101" t="s">
        <v>257</v>
      </c>
      <c r="L3" s="101"/>
      <c r="M3" s="18" t="s">
        <v>39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218" customHeight="1" spans="1:17">
      <c r="A5" s="27" t="s">
        <v>46</v>
      </c>
      <c r="B5" s="28"/>
      <c r="C5" s="62" t="s">
        <v>258</v>
      </c>
      <c r="D5" s="28">
        <v>0.25</v>
      </c>
      <c r="E5" s="30">
        <v>100</v>
      </c>
      <c r="F5" s="31"/>
      <c r="G5" s="32"/>
      <c r="H5" s="70" t="s">
        <v>259</v>
      </c>
      <c r="I5" s="62"/>
      <c r="J5" s="39">
        <v>95</v>
      </c>
      <c r="K5" s="39"/>
      <c r="L5" s="39"/>
      <c r="M5" s="39"/>
      <c r="N5" s="39"/>
      <c r="O5" s="39"/>
      <c r="P5" s="71" t="s">
        <v>260</v>
      </c>
      <c r="Q5" s="71"/>
    </row>
    <row r="6" s="3" customFormat="1" ht="136" customHeight="1" spans="1:17">
      <c r="A6" s="38"/>
      <c r="B6" s="28"/>
      <c r="C6" s="62" t="s">
        <v>261</v>
      </c>
      <c r="D6" s="28">
        <v>0.25</v>
      </c>
      <c r="E6" s="30">
        <v>100</v>
      </c>
      <c r="F6" s="31"/>
      <c r="G6" s="32"/>
      <c r="H6" s="70" t="s">
        <v>262</v>
      </c>
      <c r="I6" s="62"/>
      <c r="J6" s="39">
        <v>100</v>
      </c>
      <c r="K6" s="39"/>
      <c r="L6" s="39"/>
      <c r="M6" s="39"/>
      <c r="N6" s="39"/>
      <c r="O6" s="39"/>
      <c r="P6" s="71" t="s">
        <v>263</v>
      </c>
      <c r="Q6" s="71"/>
    </row>
    <row r="7" s="3" customFormat="1" ht="186" customHeight="1" spans="1:17">
      <c r="A7" s="38"/>
      <c r="B7" s="28"/>
      <c r="C7" s="62" t="s">
        <v>264</v>
      </c>
      <c r="D7" s="28">
        <v>0.25</v>
      </c>
      <c r="E7" s="30">
        <v>100</v>
      </c>
      <c r="F7" s="31"/>
      <c r="G7" s="32"/>
      <c r="H7" s="70" t="s">
        <v>265</v>
      </c>
      <c r="I7" s="62"/>
      <c r="J7" s="39">
        <v>99</v>
      </c>
      <c r="K7" s="39"/>
      <c r="L7" s="39"/>
      <c r="M7" s="39"/>
      <c r="N7" s="39"/>
      <c r="O7" s="39"/>
      <c r="P7" s="71" t="s">
        <v>266</v>
      </c>
      <c r="Q7" s="71"/>
    </row>
    <row r="8" s="3" customFormat="1" ht="110" customHeight="1" spans="1:17">
      <c r="A8" s="105"/>
      <c r="B8" s="41"/>
      <c r="C8" s="62" t="s">
        <v>267</v>
      </c>
      <c r="D8" s="28">
        <v>0.05</v>
      </c>
      <c r="E8" s="30">
        <v>100</v>
      </c>
      <c r="F8" s="31"/>
      <c r="G8" s="32"/>
      <c r="H8" s="70" t="s">
        <v>268</v>
      </c>
      <c r="I8" s="62"/>
      <c r="J8" s="39"/>
      <c r="K8" s="35">
        <v>99</v>
      </c>
      <c r="L8" s="36"/>
      <c r="M8" s="39"/>
      <c r="N8" s="39"/>
      <c r="O8" s="39"/>
      <c r="P8" s="109"/>
      <c r="Q8" s="110"/>
    </row>
    <row r="9" s="3" customFormat="1" ht="85" customHeight="1" spans="1:17">
      <c r="A9" s="40" t="s">
        <v>55</v>
      </c>
      <c r="B9" s="41"/>
      <c r="C9" s="29" t="s">
        <v>56</v>
      </c>
      <c r="D9" s="28">
        <v>0.1</v>
      </c>
      <c r="E9" s="30">
        <v>100</v>
      </c>
      <c r="F9" s="31"/>
      <c r="G9" s="32"/>
      <c r="H9" s="70" t="s">
        <v>269</v>
      </c>
      <c r="I9" s="62"/>
      <c r="J9" s="39">
        <v>110</v>
      </c>
      <c r="K9" s="39"/>
      <c r="L9" s="39"/>
      <c r="M9" s="39"/>
      <c r="N9" s="39"/>
      <c r="O9" s="39"/>
      <c r="P9" s="68"/>
      <c r="Q9" s="68"/>
    </row>
    <row r="10" s="3" customFormat="1" ht="110" customHeight="1" spans="1:17">
      <c r="A10" s="40"/>
      <c r="B10" s="42"/>
      <c r="C10" s="29" t="s">
        <v>58</v>
      </c>
      <c r="D10" s="28">
        <v>0.1</v>
      </c>
      <c r="E10" s="30">
        <v>100</v>
      </c>
      <c r="F10" s="31"/>
      <c r="G10" s="32"/>
      <c r="H10" s="70" t="s">
        <v>270</v>
      </c>
      <c r="I10" s="62"/>
      <c r="J10" s="39">
        <v>100</v>
      </c>
      <c r="K10" s="39"/>
      <c r="L10" s="39"/>
      <c r="M10" s="39"/>
      <c r="N10" s="39"/>
      <c r="O10" s="39"/>
      <c r="P10" s="68"/>
      <c r="Q10" s="68"/>
    </row>
    <row r="11" s="1" customFormat="1" ht="49" customHeight="1" spans="1:17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100</v>
      </c>
      <c r="F11" s="96"/>
      <c r="G11" s="97"/>
      <c r="H11" s="45"/>
      <c r="I11" s="45"/>
      <c r="J11" s="49" cm="1">
        <f t="array" ref="J11">SUMPRODUCT(D5:D10,J5:J10)+D8*K8</f>
        <v>99.45</v>
      </c>
      <c r="K11" s="50"/>
      <c r="L11" s="50"/>
      <c r="M11" s="50"/>
      <c r="N11" s="50"/>
      <c r="O11" s="51"/>
      <c r="P11" s="46"/>
      <c r="Q11" s="48"/>
    </row>
    <row r="12" s="1" customFormat="1" ht="46" customHeight="1" spans="1:17">
      <c r="A12" s="52" t="s">
        <v>61</v>
      </c>
      <c r="B12" s="52"/>
      <c r="C12" s="52"/>
      <c r="D12" s="52"/>
      <c r="E12" s="52"/>
      <c r="F12" s="52"/>
      <c r="G12" s="52"/>
      <c r="H12" s="98" t="s">
        <v>62</v>
      </c>
      <c r="I12" s="98"/>
      <c r="J12" s="52" t="s">
        <v>63</v>
      </c>
      <c r="K12" s="52"/>
      <c r="L12" s="52"/>
      <c r="M12" s="52"/>
      <c r="N12" s="52"/>
      <c r="O12" s="52"/>
      <c r="P12" s="99" t="s">
        <v>64</v>
      </c>
      <c r="Q12" s="99"/>
    </row>
    <row r="13" s="1" customFormat="1" ht="48" customHeight="1" spans="1:17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7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8"/>
    </row>
    <row r="15" s="4" customFormat="1" ht="40" customHeight="1" spans="1:17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8"/>
    </row>
    <row r="16" s="1" customFormat="1" spans="1:17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4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K8:L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J15:K15"/>
    <mergeCell ref="A5:A7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5"/>
  <sheetViews>
    <sheetView showGridLines="0" zoomScale="50" zoomScaleNormal="50" topLeftCell="A4" workbookViewId="0">
      <selection activeCell="H8" sqref="H8:I8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91" style="1" customWidth="1"/>
    <col min="4" max="4" width="14.5" style="2" customWidth="1"/>
    <col min="5" max="5" width="20.775" style="1" customWidth="1"/>
    <col min="6" max="6" width="10.25" style="1" customWidth="1"/>
    <col min="7" max="7" width="3.10833333333333" style="1" customWidth="1"/>
    <col min="8" max="8" width="11.3083333333333" style="1" customWidth="1"/>
    <col min="9" max="9" width="86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271</v>
      </c>
      <c r="E2" s="76"/>
      <c r="F2" s="76"/>
      <c r="G2" s="76"/>
      <c r="H2" s="100" t="s">
        <v>32</v>
      </c>
      <c r="I2" s="100"/>
      <c r="J2" s="100"/>
      <c r="K2" s="100" t="s">
        <v>31</v>
      </c>
      <c r="L2" s="100"/>
      <c r="M2" s="12" t="s">
        <v>162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272</v>
      </c>
      <c r="E3" s="80"/>
      <c r="F3" s="80"/>
      <c r="G3" s="80"/>
      <c r="H3" s="101" t="s">
        <v>37</v>
      </c>
      <c r="I3" s="101"/>
      <c r="J3" s="101"/>
      <c r="K3" s="101" t="s">
        <v>193</v>
      </c>
      <c r="L3" s="101"/>
      <c r="M3" s="18" t="s">
        <v>273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80" customHeight="1" spans="1:17">
      <c r="A5" s="27" t="s">
        <v>46</v>
      </c>
      <c r="B5" s="28"/>
      <c r="C5" s="29" t="s">
        <v>274</v>
      </c>
      <c r="D5" s="28">
        <v>0.4</v>
      </c>
      <c r="E5" s="30">
        <v>115</v>
      </c>
      <c r="F5" s="31"/>
      <c r="G5" s="32"/>
      <c r="H5" s="70" t="s">
        <v>275</v>
      </c>
      <c r="I5" s="62"/>
      <c r="J5" s="39">
        <v>98</v>
      </c>
      <c r="K5" s="39"/>
      <c r="L5" s="39"/>
      <c r="M5" s="39"/>
      <c r="N5" s="39"/>
      <c r="O5" s="39"/>
      <c r="P5" s="71" t="s">
        <v>276</v>
      </c>
      <c r="Q5" s="71"/>
    </row>
    <row r="6" s="3" customFormat="1" ht="153" customHeight="1" spans="1:17">
      <c r="A6" s="38"/>
      <c r="B6" s="28"/>
      <c r="C6" s="29" t="s">
        <v>277</v>
      </c>
      <c r="D6" s="28">
        <v>0.2</v>
      </c>
      <c r="E6" s="30">
        <v>110</v>
      </c>
      <c r="F6" s="31"/>
      <c r="G6" s="32"/>
      <c r="H6" s="70" t="s">
        <v>278</v>
      </c>
      <c r="I6" s="62"/>
      <c r="J6" s="39">
        <v>90</v>
      </c>
      <c r="K6" s="39"/>
      <c r="L6" s="39"/>
      <c r="M6" s="39"/>
      <c r="N6" s="39"/>
      <c r="O6" s="39"/>
      <c r="P6" s="71" t="s">
        <v>279</v>
      </c>
      <c r="Q6" s="71"/>
    </row>
    <row r="7" s="3" customFormat="1" ht="87" customHeight="1" spans="1:17">
      <c r="A7" s="38"/>
      <c r="B7" s="28"/>
      <c r="C7" s="29" t="s">
        <v>280</v>
      </c>
      <c r="D7" s="28">
        <v>0.1</v>
      </c>
      <c r="E7" s="30">
        <v>110</v>
      </c>
      <c r="F7" s="31"/>
      <c r="G7" s="32"/>
      <c r="H7" s="70" t="s">
        <v>281</v>
      </c>
      <c r="I7" s="62"/>
      <c r="J7" s="39">
        <v>95</v>
      </c>
      <c r="K7" s="39"/>
      <c r="L7" s="39"/>
      <c r="M7" s="39"/>
      <c r="N7" s="39"/>
      <c r="O7" s="39"/>
      <c r="P7" s="71" t="s">
        <v>282</v>
      </c>
      <c r="Q7" s="71"/>
    </row>
    <row r="8" s="3" customFormat="1" ht="100" customHeight="1" spans="1:17">
      <c r="A8" s="38"/>
      <c r="B8" s="41"/>
      <c r="C8" s="29" t="s">
        <v>53</v>
      </c>
      <c r="D8" s="28">
        <v>0.1</v>
      </c>
      <c r="E8" s="30">
        <v>110</v>
      </c>
      <c r="F8" s="31"/>
      <c r="G8" s="32"/>
      <c r="H8" s="70" t="s">
        <v>283</v>
      </c>
      <c r="I8" s="62"/>
      <c r="J8" s="39">
        <v>93</v>
      </c>
      <c r="K8" s="39"/>
      <c r="L8" s="39"/>
      <c r="M8" s="39"/>
      <c r="N8" s="39"/>
      <c r="O8" s="39"/>
      <c r="P8" s="112"/>
      <c r="Q8" s="113"/>
    </row>
    <row r="9" s="3" customFormat="1" ht="57" customHeight="1" spans="1:17">
      <c r="A9" s="40" t="s">
        <v>55</v>
      </c>
      <c r="B9" s="41"/>
      <c r="C9" s="29" t="s">
        <v>56</v>
      </c>
      <c r="D9" s="28">
        <v>0.1</v>
      </c>
      <c r="E9" s="30">
        <v>110</v>
      </c>
      <c r="F9" s="31"/>
      <c r="G9" s="32"/>
      <c r="H9" s="70" t="s">
        <v>284</v>
      </c>
      <c r="I9" s="62"/>
      <c r="J9" s="39">
        <v>95</v>
      </c>
      <c r="K9" s="39"/>
      <c r="L9" s="39"/>
      <c r="M9" s="39"/>
      <c r="N9" s="39"/>
      <c r="O9" s="39"/>
      <c r="P9" s="114"/>
      <c r="Q9" s="114"/>
    </row>
    <row r="10" s="3" customFormat="1" ht="78" customHeight="1" spans="1:17">
      <c r="A10" s="40"/>
      <c r="B10" s="42"/>
      <c r="C10" s="29" t="s">
        <v>58</v>
      </c>
      <c r="D10" s="28">
        <v>0.1</v>
      </c>
      <c r="E10" s="30">
        <v>110</v>
      </c>
      <c r="F10" s="31"/>
      <c r="G10" s="32"/>
      <c r="H10" s="70" t="s">
        <v>285</v>
      </c>
      <c r="I10" s="62"/>
      <c r="J10" s="39">
        <v>95</v>
      </c>
      <c r="K10" s="39"/>
      <c r="L10" s="39"/>
      <c r="M10" s="39"/>
      <c r="N10" s="39"/>
      <c r="O10" s="39"/>
      <c r="P10" s="114"/>
      <c r="Q10" s="114"/>
    </row>
    <row r="11" s="1" customFormat="1" ht="49" customHeight="1" spans="1:17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112</v>
      </c>
      <c r="F11" s="96"/>
      <c r="G11" s="97"/>
      <c r="H11" s="45"/>
      <c r="I11" s="45"/>
      <c r="J11" s="49" cm="1">
        <f t="array" ref="J11">SUMPRODUCT(D5:D10,J5:J10)</f>
        <v>95</v>
      </c>
      <c r="K11" s="50"/>
      <c r="L11" s="50"/>
      <c r="M11" s="50"/>
      <c r="N11" s="50"/>
      <c r="O11" s="51"/>
      <c r="P11" s="49"/>
      <c r="Q11" s="51"/>
    </row>
    <row r="12" s="1" customFormat="1" ht="46" customHeight="1" spans="1:17">
      <c r="A12" s="52" t="s">
        <v>61</v>
      </c>
      <c r="B12" s="52"/>
      <c r="C12" s="52"/>
      <c r="D12" s="52"/>
      <c r="E12" s="52"/>
      <c r="F12" s="52"/>
      <c r="G12" s="52"/>
      <c r="H12" s="98"/>
      <c r="I12" s="98"/>
      <c r="J12" s="52" t="s">
        <v>63</v>
      </c>
      <c r="K12" s="52"/>
      <c r="L12" s="52"/>
      <c r="M12" s="52"/>
      <c r="N12" s="52"/>
      <c r="O12" s="52"/>
      <c r="P12" s="99" t="s">
        <v>64</v>
      </c>
      <c r="Q12" s="99"/>
    </row>
    <row r="13" s="1" customFormat="1" ht="48" customHeight="1" spans="1:17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7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8"/>
    </row>
    <row r="15" s="4" customFormat="1" ht="40" customHeight="1" spans="1:17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8"/>
    </row>
    <row r="16" s="1" customFormat="1" spans="1:17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4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J15:K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5"/>
  <sheetViews>
    <sheetView showGridLines="0" zoomScale="50" zoomScaleNormal="50" topLeftCell="A2" workbookViewId="0">
      <selection activeCell="H12" sqref="H12:I12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64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95.25" style="1" customWidth="1"/>
    <col min="10" max="10" width="0.225" style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286</v>
      </c>
      <c r="E2" s="76"/>
      <c r="F2" s="76"/>
      <c r="G2" s="76"/>
      <c r="H2" s="100" t="s">
        <v>32</v>
      </c>
      <c r="I2" s="100"/>
      <c r="J2" s="100"/>
      <c r="K2" s="100" t="s">
        <v>271</v>
      </c>
      <c r="L2" s="100"/>
      <c r="M2" s="12" t="s">
        <v>287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288</v>
      </c>
      <c r="E3" s="80"/>
      <c r="F3" s="80"/>
      <c r="G3" s="80"/>
      <c r="H3" s="101" t="s">
        <v>37</v>
      </c>
      <c r="I3" s="101"/>
      <c r="J3" s="101"/>
      <c r="K3" s="101" t="s">
        <v>289</v>
      </c>
      <c r="L3" s="101"/>
      <c r="M3" s="18" t="s">
        <v>290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71" customHeight="1" spans="1:17">
      <c r="A5" s="27" t="s">
        <v>46</v>
      </c>
      <c r="B5" s="28"/>
      <c r="C5" s="29" t="s">
        <v>291</v>
      </c>
      <c r="D5" s="28">
        <v>0.3</v>
      </c>
      <c r="E5" s="30">
        <v>108</v>
      </c>
      <c r="F5" s="31"/>
      <c r="G5" s="32"/>
      <c r="H5" s="70" t="s">
        <v>292</v>
      </c>
      <c r="I5" s="62"/>
      <c r="J5" s="39">
        <v>96</v>
      </c>
      <c r="K5" s="39"/>
      <c r="L5" s="39"/>
      <c r="M5" s="39"/>
      <c r="N5" s="39"/>
      <c r="O5" s="39"/>
      <c r="P5" s="37" t="s">
        <v>293</v>
      </c>
      <c r="Q5" s="37"/>
    </row>
    <row r="6" s="3" customFormat="1" ht="121" customHeight="1" spans="1:17">
      <c r="A6" s="38"/>
      <c r="B6" s="28"/>
      <c r="C6" s="29" t="s">
        <v>294</v>
      </c>
      <c r="D6" s="28">
        <v>0.3</v>
      </c>
      <c r="E6" s="30">
        <v>110</v>
      </c>
      <c r="F6" s="31"/>
      <c r="G6" s="32"/>
      <c r="H6" s="70" t="s">
        <v>295</v>
      </c>
      <c r="I6" s="62"/>
      <c r="J6" s="39">
        <v>98</v>
      </c>
      <c r="K6" s="39"/>
      <c r="L6" s="39"/>
      <c r="M6" s="39"/>
      <c r="N6" s="39"/>
      <c r="O6" s="39"/>
      <c r="P6" s="37" t="s">
        <v>296</v>
      </c>
      <c r="Q6" s="37"/>
    </row>
    <row r="7" s="3" customFormat="1" ht="123" customHeight="1" spans="1:17">
      <c r="A7" s="38"/>
      <c r="B7" s="28"/>
      <c r="C7" s="29" t="s">
        <v>297</v>
      </c>
      <c r="D7" s="28">
        <v>0.1</v>
      </c>
      <c r="E7" s="30">
        <v>108</v>
      </c>
      <c r="F7" s="31"/>
      <c r="G7" s="32"/>
      <c r="H7" s="70" t="s">
        <v>298</v>
      </c>
      <c r="I7" s="62"/>
      <c r="J7" s="39">
        <v>95</v>
      </c>
      <c r="K7" s="39"/>
      <c r="L7" s="39"/>
      <c r="M7" s="39"/>
      <c r="N7" s="39"/>
      <c r="O7" s="39"/>
      <c r="P7" s="66" t="s">
        <v>299</v>
      </c>
      <c r="Q7" s="67"/>
    </row>
    <row r="8" s="3" customFormat="1" ht="120" customHeight="1" spans="1:17">
      <c r="A8" s="38"/>
      <c r="B8" s="28"/>
      <c r="C8" s="29" t="s">
        <v>300</v>
      </c>
      <c r="D8" s="28">
        <v>0.1</v>
      </c>
      <c r="E8" s="30">
        <v>105</v>
      </c>
      <c r="F8" s="31"/>
      <c r="G8" s="32"/>
      <c r="H8" s="70" t="s">
        <v>301</v>
      </c>
      <c r="I8" s="62"/>
      <c r="J8" s="39">
        <v>95</v>
      </c>
      <c r="K8" s="39"/>
      <c r="L8" s="39"/>
      <c r="M8" s="39"/>
      <c r="N8" s="39"/>
      <c r="O8" s="39"/>
      <c r="P8" s="66" t="s">
        <v>302</v>
      </c>
      <c r="Q8" s="67"/>
    </row>
    <row r="9" s="3" customFormat="1" ht="84" customHeight="1" spans="1:17">
      <c r="A9" s="40" t="s">
        <v>55</v>
      </c>
      <c r="B9" s="41"/>
      <c r="C9" s="29" t="s">
        <v>56</v>
      </c>
      <c r="D9" s="28">
        <v>0.1</v>
      </c>
      <c r="E9" s="30">
        <v>110</v>
      </c>
      <c r="F9" s="31"/>
      <c r="G9" s="32"/>
      <c r="H9" s="70" t="s">
        <v>303</v>
      </c>
      <c r="I9" s="62"/>
      <c r="J9" s="39">
        <v>100</v>
      </c>
      <c r="K9" s="39"/>
      <c r="L9" s="39"/>
      <c r="M9" s="39"/>
      <c r="N9" s="39"/>
      <c r="O9" s="39"/>
      <c r="P9" s="37" t="s">
        <v>304</v>
      </c>
      <c r="Q9" s="37"/>
    </row>
    <row r="10" s="3" customFormat="1" ht="81" customHeight="1" spans="1:17">
      <c r="A10" s="40"/>
      <c r="B10" s="42"/>
      <c r="C10" s="29" t="s">
        <v>58</v>
      </c>
      <c r="D10" s="28">
        <v>0.1</v>
      </c>
      <c r="E10" s="30">
        <v>110</v>
      </c>
      <c r="F10" s="31"/>
      <c r="G10" s="32"/>
      <c r="H10" s="70" t="s">
        <v>305</v>
      </c>
      <c r="I10" s="62"/>
      <c r="J10" s="39">
        <v>100</v>
      </c>
      <c r="K10" s="39"/>
      <c r="L10" s="39"/>
      <c r="M10" s="39"/>
      <c r="N10" s="39"/>
      <c r="O10" s="39"/>
      <c r="P10" s="37" t="s">
        <v>306</v>
      </c>
      <c r="Q10" s="37"/>
    </row>
    <row r="11" s="1" customFormat="1" ht="49" customHeight="1" spans="1:17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108.7</v>
      </c>
      <c r="F11" s="96"/>
      <c r="G11" s="97"/>
      <c r="H11" s="45"/>
      <c r="I11" s="45"/>
      <c r="J11" s="49" cm="1">
        <f t="array" ref="J11">SUMPRODUCT(D5:D10,J5:J10)</f>
        <v>97.2</v>
      </c>
      <c r="K11" s="50"/>
      <c r="L11" s="50"/>
      <c r="M11" s="50"/>
      <c r="N11" s="50"/>
      <c r="O11" s="51"/>
      <c r="P11" s="46"/>
      <c r="Q11" s="48"/>
    </row>
    <row r="12" s="1" customFormat="1" ht="46" customHeight="1" spans="1:17">
      <c r="A12" s="52" t="s">
        <v>61</v>
      </c>
      <c r="B12" s="52"/>
      <c r="C12" s="52"/>
      <c r="D12" s="52"/>
      <c r="E12" s="52"/>
      <c r="F12" s="52"/>
      <c r="G12" s="52"/>
      <c r="H12" s="98"/>
      <c r="I12" s="98"/>
      <c r="J12" s="52" t="s">
        <v>63</v>
      </c>
      <c r="K12" s="52"/>
      <c r="L12" s="52"/>
      <c r="M12" s="52"/>
      <c r="N12" s="52"/>
      <c r="O12" s="52"/>
      <c r="P12" s="99"/>
      <c r="Q12" s="99"/>
    </row>
    <row r="13" s="1" customFormat="1" ht="48" customHeight="1" spans="1:17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7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8"/>
    </row>
    <row r="15" s="4" customFormat="1" ht="40" customHeight="1" spans="1:17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8"/>
    </row>
    <row r="16" s="1" customFormat="1" spans="1:17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4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J15:K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5"/>
  <sheetViews>
    <sheetView showGridLines="0" zoomScale="55" zoomScaleNormal="55" topLeftCell="A4" workbookViewId="0">
      <selection activeCell="H12" sqref="H12:I12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46.3583333333333" style="1" customWidth="1"/>
    <col min="4" max="4" width="17.5583333333333" style="2" customWidth="1"/>
    <col min="5" max="5" width="20.775" style="1" customWidth="1"/>
    <col min="6" max="6" width="3.625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45.45" style="1" customWidth="1"/>
    <col min="18" max="16372" width="9.55833333333333" style="1"/>
  </cols>
  <sheetData>
    <row r="1" s="1" customFormat="1" ht="57" customHeight="1" spans="1:18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8">
      <c r="A2" s="7" t="s">
        <v>30</v>
      </c>
      <c r="B2" s="8"/>
      <c r="C2" s="9"/>
      <c r="D2" s="76" t="s">
        <v>307</v>
      </c>
      <c r="E2" s="76"/>
      <c r="F2" s="76"/>
      <c r="G2" s="76"/>
      <c r="H2" s="100" t="s">
        <v>32</v>
      </c>
      <c r="I2" s="100"/>
      <c r="J2" s="100"/>
      <c r="K2" s="100" t="s">
        <v>271</v>
      </c>
      <c r="L2" s="100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80" t="s">
        <v>308</v>
      </c>
      <c r="E3" s="80"/>
      <c r="F3" s="80"/>
      <c r="G3" s="80"/>
      <c r="H3" s="101" t="s">
        <v>37</v>
      </c>
      <c r="I3" s="101"/>
      <c r="J3" s="101"/>
      <c r="K3" s="101" t="s">
        <v>309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18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28" customHeight="1" spans="1:18">
      <c r="A5" s="27" t="s">
        <v>46</v>
      </c>
      <c r="B5" s="28"/>
      <c r="C5" s="29" t="s">
        <v>310</v>
      </c>
      <c r="D5" s="28">
        <v>0.4</v>
      </c>
      <c r="E5" s="30">
        <v>110</v>
      </c>
      <c r="F5" s="31"/>
      <c r="G5" s="32"/>
      <c r="H5" s="70" t="s">
        <v>311</v>
      </c>
      <c r="I5" s="62"/>
      <c r="J5" s="39">
        <v>95</v>
      </c>
      <c r="K5" s="39"/>
      <c r="L5" s="39"/>
      <c r="M5" s="39"/>
      <c r="N5" s="39"/>
      <c r="O5" s="39"/>
      <c r="P5" s="37" t="s">
        <v>312</v>
      </c>
      <c r="Q5" s="37"/>
    </row>
    <row r="6" s="3" customFormat="1" ht="127" customHeight="1" spans="1:18">
      <c r="A6" s="38"/>
      <c r="B6" s="28"/>
      <c r="C6" s="29" t="s">
        <v>313</v>
      </c>
      <c r="D6" s="28">
        <v>0.15</v>
      </c>
      <c r="E6" s="30">
        <v>108</v>
      </c>
      <c r="F6" s="31"/>
      <c r="G6" s="32"/>
      <c r="H6" s="70" t="s">
        <v>314</v>
      </c>
      <c r="I6" s="62"/>
      <c r="J6" s="39">
        <v>92</v>
      </c>
      <c r="K6" s="39"/>
      <c r="L6" s="39"/>
      <c r="M6" s="39"/>
      <c r="N6" s="39"/>
      <c r="O6" s="39"/>
      <c r="P6" s="37" t="s">
        <v>315</v>
      </c>
      <c r="Q6" s="37"/>
    </row>
    <row r="7" s="3" customFormat="1" ht="75" customHeight="1" spans="1:18">
      <c r="A7" s="38"/>
      <c r="B7" s="28"/>
      <c r="C7" s="29" t="s">
        <v>316</v>
      </c>
      <c r="D7" s="28">
        <v>0.2</v>
      </c>
      <c r="E7" s="30">
        <v>110</v>
      </c>
      <c r="F7" s="31"/>
      <c r="G7" s="32"/>
      <c r="H7" s="70" t="s">
        <v>317</v>
      </c>
      <c r="I7" s="62"/>
      <c r="J7" s="39">
        <v>95</v>
      </c>
      <c r="K7" s="39">
        <v>100</v>
      </c>
      <c r="L7" s="39"/>
      <c r="M7" s="39"/>
      <c r="N7" s="39"/>
      <c r="O7" s="39"/>
      <c r="P7" s="66" t="s">
        <v>318</v>
      </c>
      <c r="Q7" s="67"/>
    </row>
    <row r="8" s="3" customFormat="1" ht="54" customHeight="1" spans="1:18">
      <c r="A8" s="38"/>
      <c r="B8" s="28"/>
      <c r="C8" s="29" t="s">
        <v>319</v>
      </c>
      <c r="D8" s="28">
        <v>0.05</v>
      </c>
      <c r="E8" s="30">
        <v>105</v>
      </c>
      <c r="F8" s="31"/>
      <c r="G8" s="32"/>
      <c r="H8" s="70" t="s">
        <v>320</v>
      </c>
      <c r="I8" s="62"/>
      <c r="J8" s="39">
        <v>95</v>
      </c>
      <c r="K8" s="39"/>
      <c r="L8" s="39"/>
      <c r="M8" s="39"/>
      <c r="N8" s="39"/>
      <c r="O8" s="39"/>
      <c r="P8" s="37" t="s">
        <v>321</v>
      </c>
      <c r="Q8" s="37"/>
    </row>
    <row r="9" s="3" customFormat="1" ht="94" customHeight="1" spans="1:18">
      <c r="A9" s="40" t="s">
        <v>55</v>
      </c>
      <c r="B9" s="41"/>
      <c r="C9" s="29" t="s">
        <v>56</v>
      </c>
      <c r="D9" s="28">
        <v>0.1</v>
      </c>
      <c r="E9" s="30">
        <v>115</v>
      </c>
      <c r="F9" s="31"/>
      <c r="G9" s="32"/>
      <c r="H9" s="70" t="s">
        <v>322</v>
      </c>
      <c r="I9" s="62"/>
      <c r="J9" s="39">
        <v>98</v>
      </c>
      <c r="K9" s="39"/>
      <c r="L9" s="39"/>
      <c r="M9" s="39"/>
      <c r="N9" s="39"/>
      <c r="O9" s="39"/>
      <c r="P9" s="37" t="s">
        <v>323</v>
      </c>
      <c r="Q9" s="37"/>
    </row>
    <row r="10" s="3" customFormat="1" ht="80" customHeight="1" spans="1:18">
      <c r="A10" s="40"/>
      <c r="B10" s="42"/>
      <c r="C10" s="29" t="s">
        <v>58</v>
      </c>
      <c r="D10" s="28">
        <v>0.1</v>
      </c>
      <c r="E10" s="30">
        <v>115</v>
      </c>
      <c r="F10" s="31"/>
      <c r="G10" s="32"/>
      <c r="H10" s="70" t="s">
        <v>324</v>
      </c>
      <c r="I10" s="62"/>
      <c r="J10" s="39">
        <v>98</v>
      </c>
      <c r="K10" s="39"/>
      <c r="L10" s="39"/>
      <c r="M10" s="39"/>
      <c r="N10" s="39"/>
      <c r="O10" s="39"/>
      <c r="P10" s="37" t="s">
        <v>325</v>
      </c>
      <c r="Q10" s="37"/>
    </row>
    <row r="11" s="1" customFormat="1" ht="49" customHeight="1" spans="1:18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110.45</v>
      </c>
      <c r="F11" s="96"/>
      <c r="G11" s="97"/>
      <c r="H11" s="45"/>
      <c r="I11" s="45"/>
      <c r="J11" s="49" cm="1">
        <f t="array" ref="J11">SUMPRODUCT(D5:D10,J5:J10)</f>
        <v>95.15</v>
      </c>
      <c r="K11" s="50"/>
      <c r="L11" s="50"/>
      <c r="M11" s="50"/>
      <c r="N11" s="50"/>
      <c r="O11" s="51"/>
      <c r="P11" s="46"/>
      <c r="Q11" s="48"/>
    </row>
    <row r="12" s="1" customFormat="1" ht="46" customHeight="1" spans="1:18">
      <c r="A12" s="52" t="s">
        <v>61</v>
      </c>
      <c r="B12" s="52"/>
      <c r="C12" s="52"/>
      <c r="D12" s="52"/>
      <c r="E12" s="52"/>
      <c r="F12" s="52"/>
      <c r="G12" s="52"/>
      <c r="H12" s="98"/>
      <c r="I12" s="98"/>
      <c r="J12" s="52" t="s">
        <v>63</v>
      </c>
      <c r="K12" s="52"/>
      <c r="L12" s="52"/>
      <c r="M12" s="52"/>
      <c r="N12" s="52"/>
      <c r="O12" s="52"/>
      <c r="P12" s="99"/>
      <c r="Q12" s="99"/>
    </row>
    <row r="13" s="1" customFormat="1" ht="48" customHeight="1" spans="1:18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8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5"/>
      <c r="R14" s="55"/>
    </row>
    <row r="15" s="4" customFormat="1" ht="40" customHeight="1" spans="1:18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5"/>
      <c r="R15" s="55"/>
    </row>
    <row r="16" s="1" customFormat="1" spans="1:18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6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Q14:R14"/>
    <mergeCell ref="J15:K15"/>
    <mergeCell ref="Q15:R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36"/>
  <sheetViews>
    <sheetView showGridLines="0" zoomScale="50" zoomScaleNormal="50" topLeftCell="A2" workbookViewId="0">
      <selection activeCell="H13" sqref="H13:I13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1.5583333333333" style="1" customWidth="1"/>
    <col min="10" max="10" width="0.225" style="1" hidden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5" style="1" customWidth="1"/>
    <col min="18" max="16373" width="9.55833333333333" style="1"/>
  </cols>
  <sheetData>
    <row r="1" s="1" customFormat="1" ht="57" customHeight="1" spans="1:23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23">
      <c r="A2" s="7" t="s">
        <v>30</v>
      </c>
      <c r="B2" s="8"/>
      <c r="C2" s="9"/>
      <c r="D2" s="76" t="s">
        <v>326</v>
      </c>
      <c r="E2" s="76"/>
      <c r="F2" s="76"/>
      <c r="G2" s="76"/>
      <c r="H2" s="100" t="s">
        <v>32</v>
      </c>
      <c r="I2" s="100"/>
      <c r="J2" s="100"/>
      <c r="K2" s="100" t="s">
        <v>205</v>
      </c>
      <c r="L2" s="100"/>
      <c r="M2" s="12" t="s">
        <v>327</v>
      </c>
      <c r="N2" s="12"/>
      <c r="O2" s="12"/>
      <c r="P2" s="12"/>
      <c r="Q2" s="12"/>
    </row>
    <row r="3" s="1" customFormat="1" ht="51" customHeight="1" spans="1:23">
      <c r="A3" s="13" t="s">
        <v>35</v>
      </c>
      <c r="B3" s="14"/>
      <c r="C3" s="15"/>
      <c r="D3" s="80" t="s">
        <v>328</v>
      </c>
      <c r="E3" s="80"/>
      <c r="F3" s="80"/>
      <c r="G3" s="80"/>
      <c r="H3" s="101" t="s">
        <v>37</v>
      </c>
      <c r="I3" s="101"/>
      <c r="J3" s="101"/>
      <c r="K3" s="101" t="s">
        <v>193</v>
      </c>
      <c r="L3" s="101"/>
      <c r="M3" s="18" t="s">
        <v>72</v>
      </c>
      <c r="N3" s="18"/>
      <c r="O3" s="18"/>
      <c r="P3" s="18"/>
      <c r="Q3" s="18"/>
    </row>
    <row r="4" s="2" customFormat="1" ht="54" customHeight="1" spans="1:23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23" customHeight="1" spans="1:23">
      <c r="A5" s="27" t="s">
        <v>46</v>
      </c>
      <c r="B5" s="28"/>
      <c r="C5" s="29" t="s">
        <v>329</v>
      </c>
      <c r="D5" s="28">
        <v>0.05</v>
      </c>
      <c r="E5" s="30">
        <v>110</v>
      </c>
      <c r="F5" s="31"/>
      <c r="G5" s="32"/>
      <c r="H5" s="33" t="s">
        <v>330</v>
      </c>
      <c r="I5" s="29"/>
      <c r="J5" s="39">
        <v>95</v>
      </c>
      <c r="K5" s="39"/>
      <c r="L5" s="39"/>
      <c r="M5" s="39"/>
      <c r="N5" s="39"/>
      <c r="O5" s="39"/>
      <c r="P5" s="68" t="s">
        <v>331</v>
      </c>
      <c r="Q5" s="68"/>
      <c r="V5" s="108"/>
      <c r="W5" s="108"/>
    </row>
    <row r="6" s="3" customFormat="1" ht="115" customHeight="1" spans="1:23">
      <c r="A6" s="38"/>
      <c r="B6" s="28"/>
      <c r="C6" s="29" t="s">
        <v>332</v>
      </c>
      <c r="D6" s="28">
        <v>0.05</v>
      </c>
      <c r="E6" s="30">
        <v>110</v>
      </c>
      <c r="F6" s="31"/>
      <c r="G6" s="32"/>
      <c r="H6" s="33" t="s">
        <v>330</v>
      </c>
      <c r="I6" s="29"/>
      <c r="J6" s="39">
        <v>95</v>
      </c>
      <c r="K6" s="39"/>
      <c r="L6" s="39"/>
      <c r="M6" s="39"/>
      <c r="N6" s="39"/>
      <c r="O6" s="39"/>
      <c r="P6" s="68" t="s">
        <v>333</v>
      </c>
      <c r="Q6" s="68"/>
    </row>
    <row r="7" s="3" customFormat="1" ht="112" customHeight="1" spans="1:23">
      <c r="A7" s="38"/>
      <c r="B7" s="28"/>
      <c r="C7" s="29" t="s">
        <v>334</v>
      </c>
      <c r="D7" s="28">
        <v>0.2</v>
      </c>
      <c r="E7" s="30">
        <v>118</v>
      </c>
      <c r="F7" s="31"/>
      <c r="G7" s="32"/>
      <c r="H7" s="33" t="s">
        <v>335</v>
      </c>
      <c r="I7" s="29"/>
      <c r="J7" s="39">
        <v>95</v>
      </c>
      <c r="K7" s="39"/>
      <c r="L7" s="39"/>
      <c r="M7" s="39"/>
      <c r="N7" s="39"/>
      <c r="O7" s="39"/>
      <c r="P7" s="68" t="s">
        <v>336</v>
      </c>
      <c r="Q7" s="68"/>
    </row>
    <row r="8" s="3" customFormat="1" ht="108" customHeight="1" spans="1:23">
      <c r="A8" s="105"/>
      <c r="B8" s="41"/>
      <c r="C8" s="29" t="s">
        <v>337</v>
      </c>
      <c r="D8" s="28">
        <v>0.15</v>
      </c>
      <c r="E8" s="30">
        <v>110</v>
      </c>
      <c r="F8" s="31"/>
      <c r="G8" s="32"/>
      <c r="H8" s="33" t="s">
        <v>338</v>
      </c>
      <c r="I8" s="29"/>
      <c r="J8" s="39">
        <v>95</v>
      </c>
      <c r="K8" s="39"/>
      <c r="L8" s="39"/>
      <c r="M8" s="39"/>
      <c r="N8" s="39"/>
      <c r="O8" s="39"/>
      <c r="P8" s="109" t="s">
        <v>339</v>
      </c>
      <c r="Q8" s="110"/>
    </row>
    <row r="9" s="3" customFormat="1" ht="171" customHeight="1" spans="1:23">
      <c r="A9" s="105"/>
      <c r="B9" s="41"/>
      <c r="C9" s="29" t="s">
        <v>340</v>
      </c>
      <c r="D9" s="28">
        <v>0.35</v>
      </c>
      <c r="E9" s="30">
        <v>115</v>
      </c>
      <c r="F9" s="31"/>
      <c r="G9" s="32"/>
      <c r="H9" s="33" t="s">
        <v>341</v>
      </c>
      <c r="I9" s="29"/>
      <c r="J9" s="39">
        <v>95</v>
      </c>
      <c r="K9" s="39"/>
      <c r="L9" s="39"/>
      <c r="M9" s="39"/>
      <c r="N9" s="39"/>
      <c r="O9" s="39"/>
      <c r="P9" s="109" t="s">
        <v>342</v>
      </c>
      <c r="Q9" s="110"/>
    </row>
    <row r="10" s="3" customFormat="1" ht="97" customHeight="1" spans="1:23">
      <c r="A10" s="40" t="s">
        <v>55</v>
      </c>
      <c r="B10" s="41"/>
      <c r="C10" s="29" t="s">
        <v>56</v>
      </c>
      <c r="D10" s="28">
        <v>0.1</v>
      </c>
      <c r="E10" s="30">
        <v>119</v>
      </c>
      <c r="F10" s="31"/>
      <c r="G10" s="32"/>
      <c r="H10" s="33" t="s">
        <v>343</v>
      </c>
      <c r="I10" s="29"/>
      <c r="J10" s="39">
        <v>100</v>
      </c>
      <c r="K10" s="39"/>
      <c r="L10" s="39"/>
      <c r="M10" s="39"/>
      <c r="N10" s="39"/>
      <c r="O10" s="39"/>
      <c r="P10" s="68" t="s">
        <v>344</v>
      </c>
      <c r="Q10" s="68"/>
    </row>
    <row r="11" s="3" customFormat="1" ht="94" customHeight="1" spans="1:23">
      <c r="A11" s="40"/>
      <c r="B11" s="42"/>
      <c r="C11" s="29" t="s">
        <v>58</v>
      </c>
      <c r="D11" s="28">
        <v>0.1</v>
      </c>
      <c r="E11" s="30">
        <v>119</v>
      </c>
      <c r="F11" s="31"/>
      <c r="G11" s="32"/>
      <c r="H11" s="33" t="s">
        <v>345</v>
      </c>
      <c r="I11" s="29"/>
      <c r="J11" s="39">
        <v>100</v>
      </c>
      <c r="K11" s="39"/>
      <c r="L11" s="39"/>
      <c r="M11" s="39"/>
      <c r="N11" s="39"/>
      <c r="O11" s="39"/>
      <c r="P11" s="68" t="s">
        <v>346</v>
      </c>
      <c r="Q11" s="68"/>
    </row>
    <row r="12" s="1" customFormat="1" ht="49" customHeight="1" spans="1:23">
      <c r="A12" s="43" t="s">
        <v>60</v>
      </c>
      <c r="B12" s="44"/>
      <c r="C12" s="44"/>
      <c r="D12" s="45">
        <f>SUM(D5:D11)</f>
        <v>1</v>
      </c>
      <c r="E12" s="95" cm="1">
        <f t="array" ref="E12">SUMPRODUCT(D5:D10,E5:E10)</f>
        <v>103.25</v>
      </c>
      <c r="F12" s="96"/>
      <c r="G12" s="97"/>
      <c r="H12" s="45"/>
      <c r="I12" s="45"/>
      <c r="J12" s="49" cm="1">
        <f t="array" ref="J12">SUMPRODUCT(D5:D11,J5:J11)</f>
        <v>96</v>
      </c>
      <c r="K12" s="50"/>
      <c r="L12" s="50"/>
      <c r="M12" s="50"/>
      <c r="N12" s="50"/>
      <c r="O12" s="51"/>
      <c r="P12" s="46"/>
      <c r="Q12" s="48"/>
    </row>
    <row r="13" s="1" customFormat="1" ht="46" customHeight="1" spans="1:23">
      <c r="A13" s="52" t="s">
        <v>61</v>
      </c>
      <c r="B13" s="52"/>
      <c r="C13" s="52"/>
      <c r="D13" s="52"/>
      <c r="E13" s="52"/>
      <c r="F13" s="52"/>
      <c r="G13" s="52"/>
      <c r="H13" s="98"/>
      <c r="I13" s="98"/>
      <c r="J13" s="52" t="s">
        <v>63</v>
      </c>
      <c r="K13" s="52"/>
      <c r="L13" s="52"/>
      <c r="M13" s="52"/>
      <c r="N13" s="52"/>
      <c r="O13" s="52"/>
      <c r="P13" s="99"/>
      <c r="Q13" s="99"/>
    </row>
    <row r="14" s="1" customFormat="1" ht="48" customHeight="1" spans="1:23">
      <c r="A14" s="54" t="s">
        <v>65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="4" customFormat="1" ht="40" customHeight="1" spans="1:23">
      <c r="A15" s="55"/>
      <c r="B15" s="55"/>
      <c r="C15" s="55"/>
      <c r="D15" s="56" t="s">
        <v>66</v>
      </c>
      <c r="E15" s="57" t="s">
        <v>326</v>
      </c>
      <c r="F15" s="58"/>
      <c r="G15" s="58"/>
      <c r="H15" s="58"/>
      <c r="I15" s="58"/>
      <c r="J15" s="55" t="s">
        <v>67</v>
      </c>
      <c r="K15" s="55"/>
      <c r="L15" s="57"/>
      <c r="M15" s="57"/>
      <c r="N15" s="58"/>
      <c r="O15" s="58"/>
      <c r="P15" s="59"/>
      <c r="Q15" s="58"/>
    </row>
    <row r="16" s="4" customFormat="1" ht="40" customHeight="1" spans="1:23">
      <c r="A16" s="55"/>
      <c r="B16" s="55"/>
      <c r="C16" s="55"/>
      <c r="D16" s="56" t="s">
        <v>68</v>
      </c>
      <c r="E16" s="111">
        <v>46042</v>
      </c>
      <c r="F16" s="58"/>
      <c r="G16" s="58"/>
      <c r="H16" s="58"/>
      <c r="I16" s="58"/>
      <c r="J16" s="55" t="s">
        <v>68</v>
      </c>
      <c r="K16" s="55"/>
      <c r="L16" s="60"/>
      <c r="M16" s="60"/>
      <c r="N16" s="58"/>
      <c r="O16" s="58"/>
      <c r="P16" s="59"/>
      <c r="Q16" s="58"/>
    </row>
    <row r="17" s="1" customFormat="1" spans="1:16">
      <c r="D17" s="2"/>
      <c r="P17" s="2"/>
    </row>
    <row r="18" s="1" customFormat="1" ht="22.5" spans="1:16">
      <c r="A18" s="61"/>
      <c r="B18" s="61"/>
      <c r="C18" s="61"/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  <c r="P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</sheetData>
  <mergeCells count="59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V5:W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O8"/>
    <mergeCell ref="P8:Q8"/>
    <mergeCell ref="E9:F9"/>
    <mergeCell ref="H9:I9"/>
    <mergeCell ref="J9:O9"/>
    <mergeCell ref="P9:Q9"/>
    <mergeCell ref="E10:F10"/>
    <mergeCell ref="H10:I10"/>
    <mergeCell ref="J10:O10"/>
    <mergeCell ref="P10:Q10"/>
    <mergeCell ref="E11:G11"/>
    <mergeCell ref="H11:I11"/>
    <mergeCell ref="J11:O11"/>
    <mergeCell ref="P11:Q11"/>
    <mergeCell ref="A12:B12"/>
    <mergeCell ref="E12:G12"/>
    <mergeCell ref="H12:I12"/>
    <mergeCell ref="J12:O12"/>
    <mergeCell ref="P12:Q12"/>
    <mergeCell ref="A13:G13"/>
    <mergeCell ref="H13:I13"/>
    <mergeCell ref="J13:O13"/>
    <mergeCell ref="P13:Q13"/>
    <mergeCell ref="A14:Q14"/>
    <mergeCell ref="J15:K15"/>
    <mergeCell ref="J16:K16"/>
    <mergeCell ref="A5:A7"/>
    <mergeCell ref="A10:A11"/>
  </mergeCells>
  <dataValidations count="1">
    <dataValidation type="list" allowBlank="1" showInputMessage="1" showErrorMessage="1" sqref="H13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7"/>
  <sheetViews>
    <sheetView showGridLines="0" zoomScale="50" zoomScaleNormal="50" topLeftCell="A5" workbookViewId="0">
      <selection activeCell="H14" sqref="H14:I14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hidden="1" customWidth="1"/>
    <col min="8" max="8" width="11.3083333333333" style="1" customWidth="1"/>
    <col min="9" max="9" width="88.25" style="1" customWidth="1"/>
    <col min="10" max="10" width="8" style="1" customWidth="1"/>
    <col min="11" max="11" width="19.5583333333333" style="1" customWidth="1"/>
    <col min="12" max="12" width="28.441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347</v>
      </c>
      <c r="E2" s="76"/>
      <c r="F2" s="76"/>
      <c r="G2" s="76"/>
      <c r="H2" s="100" t="s">
        <v>32</v>
      </c>
      <c r="I2" s="100"/>
      <c r="J2" s="100"/>
      <c r="K2" s="100" t="s">
        <v>271</v>
      </c>
      <c r="L2" s="100"/>
      <c r="M2" s="12" t="s">
        <v>348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349</v>
      </c>
      <c r="E3" s="80"/>
      <c r="F3" s="80"/>
      <c r="G3" s="80"/>
      <c r="H3" s="101" t="s">
        <v>37</v>
      </c>
      <c r="I3" s="101"/>
      <c r="J3" s="101"/>
      <c r="K3" s="101" t="s">
        <v>309</v>
      </c>
      <c r="L3" s="101"/>
      <c r="M3" s="18" t="s">
        <v>39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87" customHeight="1" spans="1:17">
      <c r="A5" s="27" t="s">
        <v>46</v>
      </c>
      <c r="B5" s="28"/>
      <c r="C5" s="62" t="s">
        <v>350</v>
      </c>
      <c r="D5" s="28">
        <v>0.2</v>
      </c>
      <c r="E5" s="30">
        <v>119</v>
      </c>
      <c r="F5" s="31"/>
      <c r="G5" s="32"/>
      <c r="H5" s="63" t="s">
        <v>351</v>
      </c>
      <c r="I5" s="64"/>
      <c r="J5" s="39">
        <v>95</v>
      </c>
      <c r="K5" s="39"/>
      <c r="L5" s="39"/>
      <c r="M5" s="39"/>
      <c r="N5" s="39"/>
      <c r="O5" s="39"/>
      <c r="P5" s="102" t="s">
        <v>352</v>
      </c>
      <c r="Q5" s="102"/>
    </row>
    <row r="6" s="3" customFormat="1" ht="118" customHeight="1" spans="1:17">
      <c r="A6" s="38"/>
      <c r="B6" s="28"/>
      <c r="C6" s="62" t="s">
        <v>353</v>
      </c>
      <c r="D6" s="28">
        <v>0.25</v>
      </c>
      <c r="E6" s="30">
        <v>119</v>
      </c>
      <c r="F6" s="31"/>
      <c r="G6" s="32"/>
      <c r="H6" s="63" t="s">
        <v>354</v>
      </c>
      <c r="I6" s="103"/>
      <c r="J6" s="39">
        <v>90</v>
      </c>
      <c r="K6" s="39"/>
      <c r="L6" s="39"/>
      <c r="M6" s="39"/>
      <c r="N6" s="39"/>
      <c r="O6" s="39"/>
      <c r="P6" s="102" t="s">
        <v>355</v>
      </c>
      <c r="Q6" s="102"/>
    </row>
    <row r="7" s="3" customFormat="1" ht="60" customHeight="1" spans="1:17">
      <c r="A7" s="38"/>
      <c r="B7" s="28"/>
      <c r="C7" s="62" t="s">
        <v>356</v>
      </c>
      <c r="D7" s="28">
        <v>0.15</v>
      </c>
      <c r="E7" s="30">
        <v>118</v>
      </c>
      <c r="F7" s="31"/>
      <c r="G7" s="32"/>
      <c r="H7" s="104" t="s">
        <v>357</v>
      </c>
      <c r="I7" s="63"/>
      <c r="J7" s="39">
        <v>92</v>
      </c>
      <c r="K7" s="39"/>
      <c r="L7" s="39"/>
      <c r="M7" s="39"/>
      <c r="N7" s="39"/>
      <c r="O7" s="39"/>
      <c r="P7" s="102" t="s">
        <v>358</v>
      </c>
      <c r="Q7" s="102"/>
    </row>
    <row r="8" s="3" customFormat="1" ht="72" customHeight="1" spans="1:17">
      <c r="A8" s="105"/>
      <c r="B8" s="41"/>
      <c r="C8" s="62" t="s">
        <v>359</v>
      </c>
      <c r="D8" s="28">
        <v>0.1</v>
      </c>
      <c r="E8" s="30">
        <v>120</v>
      </c>
      <c r="F8" s="31"/>
      <c r="G8" s="32"/>
      <c r="H8" s="104" t="s">
        <v>360</v>
      </c>
      <c r="I8" s="63"/>
      <c r="J8" s="35">
        <v>95</v>
      </c>
      <c r="K8" s="65"/>
      <c r="L8" s="36"/>
      <c r="M8" s="39"/>
      <c r="N8" s="39"/>
      <c r="O8" s="39"/>
      <c r="P8" s="106" t="s">
        <v>361</v>
      </c>
      <c r="Q8" s="107"/>
    </row>
    <row r="9" s="3" customFormat="1" ht="54" customHeight="1" spans="1:17">
      <c r="A9" s="105"/>
      <c r="B9" s="41"/>
      <c r="C9" s="62" t="s">
        <v>362</v>
      </c>
      <c r="D9" s="28">
        <v>0.05</v>
      </c>
      <c r="E9" s="30">
        <v>120</v>
      </c>
      <c r="F9" s="31"/>
      <c r="G9" s="32"/>
      <c r="H9" s="104" t="s">
        <v>363</v>
      </c>
      <c r="I9" s="63"/>
      <c r="J9" s="35">
        <v>95</v>
      </c>
      <c r="K9" s="65"/>
      <c r="L9" s="36"/>
      <c r="M9" s="39"/>
      <c r="N9" s="39"/>
      <c r="O9" s="39"/>
      <c r="P9" s="106" t="s">
        <v>364</v>
      </c>
      <c r="Q9" s="107"/>
    </row>
    <row r="10" s="3" customFormat="1" ht="58" customHeight="1" spans="1:17">
      <c r="A10" s="105"/>
      <c r="B10" s="41"/>
      <c r="C10" s="62" t="s">
        <v>365</v>
      </c>
      <c r="D10" s="28">
        <v>0.05</v>
      </c>
      <c r="E10" s="30">
        <v>118</v>
      </c>
      <c r="F10" s="31"/>
      <c r="G10" s="32"/>
      <c r="H10" s="104" t="s">
        <v>366</v>
      </c>
      <c r="I10" s="63"/>
      <c r="J10" s="35">
        <v>95</v>
      </c>
      <c r="K10" s="65"/>
      <c r="L10" s="36"/>
      <c r="M10" s="39"/>
      <c r="N10" s="39"/>
      <c r="O10" s="39"/>
      <c r="P10" s="106" t="s">
        <v>367</v>
      </c>
      <c r="Q10" s="107"/>
    </row>
    <row r="11" s="3" customFormat="1" ht="156" customHeight="1" spans="1:17">
      <c r="A11" s="40" t="s">
        <v>55</v>
      </c>
      <c r="B11" s="41"/>
      <c r="C11" s="62" t="s">
        <v>56</v>
      </c>
      <c r="D11" s="28">
        <v>0.1</v>
      </c>
      <c r="E11" s="30">
        <v>118</v>
      </c>
      <c r="F11" s="31"/>
      <c r="G11" s="32"/>
      <c r="H11" s="63" t="s">
        <v>368</v>
      </c>
      <c r="I11" s="103"/>
      <c r="J11" s="39">
        <v>92</v>
      </c>
      <c r="K11" s="39"/>
      <c r="L11" s="39"/>
      <c r="M11" s="39"/>
      <c r="N11" s="39"/>
      <c r="O11" s="39"/>
      <c r="P11" s="102" t="s">
        <v>369</v>
      </c>
      <c r="Q11" s="102"/>
    </row>
    <row r="12" s="3" customFormat="1" ht="100" customHeight="1" spans="1:17">
      <c r="A12" s="40"/>
      <c r="B12" s="42"/>
      <c r="C12" s="62" t="s">
        <v>58</v>
      </c>
      <c r="D12" s="28">
        <v>0.1</v>
      </c>
      <c r="E12" s="30">
        <v>119</v>
      </c>
      <c r="F12" s="31"/>
      <c r="G12" s="32"/>
      <c r="H12" s="63" t="s">
        <v>370</v>
      </c>
      <c r="I12" s="64"/>
      <c r="J12" s="39">
        <v>92</v>
      </c>
      <c r="K12" s="39"/>
      <c r="L12" s="39"/>
      <c r="M12" s="39"/>
      <c r="N12" s="39"/>
      <c r="O12" s="39"/>
      <c r="P12" s="102" t="s">
        <v>371</v>
      </c>
      <c r="Q12" s="102"/>
    </row>
    <row r="13" s="1" customFormat="1" ht="49" customHeight="1" spans="1:17">
      <c r="A13" s="43" t="s">
        <v>60</v>
      </c>
      <c r="B13" s="44"/>
      <c r="C13" s="44"/>
      <c r="D13" s="45">
        <f>SUM(D5:D12)</f>
        <v>1</v>
      </c>
      <c r="E13" s="95" cm="1">
        <f t="array" ref="E13">SUMPRODUCT(D5:D12,E5:E12)</f>
        <v>118.85</v>
      </c>
      <c r="F13" s="96"/>
      <c r="G13" s="97"/>
      <c r="H13" s="45"/>
      <c r="I13" s="45"/>
      <c r="J13" s="49" cm="1">
        <f t="array" ref="J13">SUMPRODUCT(D5:D12,J5:J12)</f>
        <v>92.7</v>
      </c>
      <c r="K13" s="50"/>
      <c r="L13" s="50"/>
      <c r="M13" s="50"/>
      <c r="N13" s="50"/>
      <c r="O13" s="51"/>
      <c r="P13" s="46"/>
      <c r="Q13" s="48"/>
    </row>
    <row r="14" s="1" customFormat="1" ht="46" customHeight="1" spans="1:17">
      <c r="A14" s="52" t="s">
        <v>61</v>
      </c>
      <c r="B14" s="52"/>
      <c r="C14" s="52"/>
      <c r="D14" s="52"/>
      <c r="E14" s="52"/>
      <c r="F14" s="52"/>
      <c r="G14" s="52"/>
      <c r="H14" s="98"/>
      <c r="I14" s="98"/>
      <c r="J14" s="52" t="s">
        <v>63</v>
      </c>
      <c r="K14" s="52"/>
      <c r="L14" s="52"/>
      <c r="M14" s="52"/>
      <c r="N14" s="52"/>
      <c r="O14" s="52"/>
      <c r="P14" s="99"/>
      <c r="Q14" s="99"/>
    </row>
    <row r="15" s="1" customFormat="1" ht="48" customHeight="1" spans="1:17">
      <c r="A15" s="54" t="s">
        <v>65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="4" customFormat="1" ht="40" customHeight="1" spans="1:17">
      <c r="A16" s="55"/>
      <c r="B16" s="55"/>
      <c r="C16" s="55"/>
      <c r="D16" s="56" t="s">
        <v>66</v>
      </c>
      <c r="E16" s="57"/>
      <c r="F16" s="58"/>
      <c r="G16" s="58"/>
      <c r="H16" s="58"/>
      <c r="I16" s="58"/>
      <c r="J16" s="55" t="s">
        <v>67</v>
      </c>
      <c r="K16" s="55"/>
      <c r="L16" s="57"/>
      <c r="M16" s="57"/>
      <c r="N16" s="58"/>
      <c r="O16" s="58"/>
      <c r="P16" s="59"/>
      <c r="Q16" s="58"/>
    </row>
    <row r="17" s="4" customFormat="1" ht="40" customHeight="1" spans="1:17">
      <c r="A17" s="55"/>
      <c r="B17" s="55"/>
      <c r="C17" s="55"/>
      <c r="D17" s="56" t="s">
        <v>68</v>
      </c>
      <c r="E17" s="57"/>
      <c r="F17" s="58"/>
      <c r="G17" s="58"/>
      <c r="H17" s="58"/>
      <c r="I17" s="58"/>
      <c r="J17" s="55" t="s">
        <v>68</v>
      </c>
      <c r="K17" s="55"/>
      <c r="L17" s="60"/>
      <c r="M17" s="60"/>
      <c r="N17" s="58"/>
      <c r="O17" s="58"/>
      <c r="P17" s="59"/>
      <c r="Q17" s="58"/>
    </row>
    <row r="18" s="1" customFormat="1" spans="1:17">
      <c r="D18" s="2"/>
      <c r="P18" s="2"/>
    </row>
    <row r="19" s="1" customFormat="1" ht="22.5" spans="1:17">
      <c r="A19" s="61"/>
      <c r="B19" s="61"/>
      <c r="C19" s="61"/>
      <c r="D19" s="2"/>
      <c r="P19" s="2"/>
    </row>
    <row r="20" s="1" customFormat="1" spans="1:17">
      <c r="D20" s="2"/>
      <c r="P20" s="2"/>
    </row>
    <row r="21" s="1" customFormat="1" spans="1:17">
      <c r="D21" s="2"/>
      <c r="P21" s="2"/>
    </row>
    <row r="22" s="1" customFormat="1" spans="1:17">
      <c r="D22" s="2"/>
      <c r="P22" s="2"/>
    </row>
    <row r="23" s="1" customFormat="1" spans="1:17">
      <c r="D23" s="2"/>
    </row>
    <row r="24" s="1" customFormat="1" spans="1:17">
      <c r="D24" s="2"/>
    </row>
    <row r="25" s="1" customFormat="1" spans="1:17">
      <c r="D25" s="2"/>
    </row>
    <row r="26" s="1" customFormat="1" spans="1:17">
      <c r="D26" s="2"/>
    </row>
    <row r="27" s="1" customFormat="1" spans="1:17">
      <c r="D27" s="2"/>
    </row>
    <row r="28" s="1" customFormat="1" spans="1:17">
      <c r="D28" s="2"/>
    </row>
    <row r="29" s="1" customFormat="1" spans="1:17">
      <c r="D29" s="2"/>
    </row>
    <row r="30" s="1" customFormat="1" spans="1:17">
      <c r="D30" s="2"/>
    </row>
    <row r="31" s="1" customFormat="1" spans="1:17">
      <c r="D31" s="2"/>
    </row>
    <row r="32" s="1" customFormat="1" spans="1:17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</sheetData>
  <mergeCells count="62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F8"/>
    <mergeCell ref="H8:I8"/>
    <mergeCell ref="J8:L8"/>
    <mergeCell ref="P8:Q8"/>
    <mergeCell ref="E9:F9"/>
    <mergeCell ref="H9:I9"/>
    <mergeCell ref="J9:L9"/>
    <mergeCell ref="P9:Q9"/>
    <mergeCell ref="E10:F10"/>
    <mergeCell ref="H10:I10"/>
    <mergeCell ref="J10:L10"/>
    <mergeCell ref="P10:Q10"/>
    <mergeCell ref="E11:F11"/>
    <mergeCell ref="H11:I11"/>
    <mergeCell ref="J11:O11"/>
    <mergeCell ref="P11:Q11"/>
    <mergeCell ref="E12:G12"/>
    <mergeCell ref="H12:I12"/>
    <mergeCell ref="J12:O12"/>
    <mergeCell ref="P12:Q12"/>
    <mergeCell ref="A13:B13"/>
    <mergeCell ref="E13:G13"/>
    <mergeCell ref="H13:I13"/>
    <mergeCell ref="J13:O13"/>
    <mergeCell ref="P13:Q13"/>
    <mergeCell ref="A14:G14"/>
    <mergeCell ref="H14:I14"/>
    <mergeCell ref="J14:O14"/>
    <mergeCell ref="P14:Q14"/>
    <mergeCell ref="A15:Q15"/>
    <mergeCell ref="J16:K16"/>
    <mergeCell ref="J17:K17"/>
    <mergeCell ref="A5:A7"/>
    <mergeCell ref="A11:A12"/>
  </mergeCells>
  <dataValidations count="1">
    <dataValidation type="list" allowBlank="1" showInputMessage="1" showErrorMessage="1" sqref="H14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5"/>
  <sheetViews>
    <sheetView showGridLines="0" zoomScale="55" zoomScaleNormal="55" topLeftCell="A5" workbookViewId="0">
      <selection activeCell="J11" sqref="J11:O11"/>
    </sheetView>
  </sheetViews>
  <sheetFormatPr defaultColWidth="9.55833333333333" defaultRowHeight="17.25"/>
  <cols>
    <col min="1" max="1" width="23.3333333333333" style="1" customWidth="1"/>
    <col min="2" max="2" width="15.1083333333333" style="1" hidden="1" customWidth="1"/>
    <col min="3" max="3" width="72.6666666666667" style="1" customWidth="1"/>
    <col min="4" max="4" width="17.5583333333333" style="2" customWidth="1"/>
    <col min="5" max="5" width="20.775" style="1" customWidth="1"/>
    <col min="6" max="6" width="10" style="1" customWidth="1"/>
    <col min="7" max="7" width="3.10833333333333" style="1" customWidth="1"/>
    <col min="8" max="8" width="11.3083333333333" style="1" customWidth="1"/>
    <col min="9" max="9" width="103.25" style="1" customWidth="1"/>
    <col min="10" max="10" width="20.5" style="1" customWidth="1"/>
    <col min="11" max="11" width="19.5583333333333" style="1" customWidth="1"/>
    <col min="12" max="12" width="4.54166666666667" style="1" customWidth="1"/>
    <col min="13" max="13" width="6.44166666666667" style="1" hidden="1" customWidth="1"/>
    <col min="14" max="14" width="5.55833333333333" style="1" hidden="1" customWidth="1"/>
    <col min="15" max="15" width="8.89166666666667" style="1" hidden="1" customWidth="1"/>
    <col min="16" max="16" width="20.1083333333333" style="2" customWidth="1"/>
    <col min="17" max="17" width="60.8916666666667" style="1" customWidth="1"/>
    <col min="18" max="16373" width="9.55833333333333" style="1"/>
  </cols>
  <sheetData>
    <row r="1" s="1" customFormat="1" ht="57" customHeight="1" spans="1:17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="1" customFormat="1" ht="48" customHeight="1" spans="1:17">
      <c r="A2" s="7" t="s">
        <v>30</v>
      </c>
      <c r="B2" s="8"/>
      <c r="C2" s="9"/>
      <c r="D2" s="76" t="s">
        <v>372</v>
      </c>
      <c r="E2" s="76"/>
      <c r="F2" s="76"/>
      <c r="G2" s="76"/>
      <c r="H2" s="77" t="s">
        <v>32</v>
      </c>
      <c r="I2" s="78"/>
      <c r="J2" s="77" t="s">
        <v>271</v>
      </c>
      <c r="K2" s="79"/>
      <c r="L2" s="78"/>
      <c r="M2" s="12" t="s">
        <v>373</v>
      </c>
      <c r="N2" s="12"/>
      <c r="O2" s="12"/>
      <c r="P2" s="12"/>
      <c r="Q2" s="12"/>
    </row>
    <row r="3" s="1" customFormat="1" ht="51" customHeight="1" spans="1:17">
      <c r="A3" s="13" t="s">
        <v>35</v>
      </c>
      <c r="B3" s="14"/>
      <c r="C3" s="15"/>
      <c r="D3" s="80" t="s">
        <v>374</v>
      </c>
      <c r="E3" s="80"/>
      <c r="F3" s="80"/>
      <c r="G3" s="80"/>
      <c r="H3" s="81" t="s">
        <v>37</v>
      </c>
      <c r="I3" s="82"/>
      <c r="J3" s="81" t="s">
        <v>375</v>
      </c>
      <c r="K3" s="83"/>
      <c r="L3" s="82"/>
      <c r="M3" s="18" t="s">
        <v>376</v>
      </c>
      <c r="N3" s="18"/>
      <c r="O3" s="18"/>
      <c r="P3" s="18"/>
      <c r="Q3" s="18"/>
    </row>
    <row r="4" s="2" customFormat="1" ht="54" customHeight="1" spans="1:17">
      <c r="A4" s="84" t="s">
        <v>40</v>
      </c>
      <c r="B4" s="85"/>
      <c r="C4" s="86"/>
      <c r="D4" s="87" t="s">
        <v>41</v>
      </c>
      <c r="E4" s="88" t="s">
        <v>42</v>
      </c>
      <c r="F4" s="89"/>
      <c r="G4" s="90"/>
      <c r="H4" s="91" t="s">
        <v>43</v>
      </c>
      <c r="I4" s="91"/>
      <c r="J4" s="91" t="s">
        <v>44</v>
      </c>
      <c r="K4" s="91"/>
      <c r="L4" s="91"/>
      <c r="M4" s="91"/>
      <c r="N4" s="91"/>
      <c r="O4" s="91"/>
      <c r="P4" s="91" t="s">
        <v>45</v>
      </c>
      <c r="Q4" s="91"/>
    </row>
    <row r="5" s="3" customFormat="1" ht="179" customHeight="1" spans="1:17">
      <c r="A5" s="27" t="s">
        <v>46</v>
      </c>
      <c r="B5" s="28"/>
      <c r="C5" s="62" t="s">
        <v>377</v>
      </c>
      <c r="D5" s="28">
        <v>0.3</v>
      </c>
      <c r="E5" s="30">
        <v>110</v>
      </c>
      <c r="F5" s="31"/>
      <c r="G5" s="32"/>
      <c r="H5" s="70" t="s">
        <v>378</v>
      </c>
      <c r="I5" s="62"/>
      <c r="J5" s="39">
        <v>98</v>
      </c>
      <c r="K5" s="39"/>
      <c r="L5" s="39"/>
      <c r="M5" s="34"/>
      <c r="N5" s="34"/>
      <c r="O5" s="34"/>
      <c r="P5" s="37" t="s">
        <v>379</v>
      </c>
      <c r="Q5" s="37"/>
    </row>
    <row r="6" s="3" customFormat="1" ht="220" customHeight="1" spans="1:17">
      <c r="A6" s="38"/>
      <c r="B6" s="28"/>
      <c r="C6" s="62" t="s">
        <v>380</v>
      </c>
      <c r="D6" s="28">
        <v>0.2</v>
      </c>
      <c r="E6" s="30">
        <v>110</v>
      </c>
      <c r="F6" s="31"/>
      <c r="G6" s="32"/>
      <c r="H6" s="70" t="s">
        <v>381</v>
      </c>
      <c r="I6" s="62"/>
      <c r="J6" s="92">
        <v>95</v>
      </c>
      <c r="K6" s="93"/>
      <c r="L6" s="94"/>
      <c r="M6" s="34"/>
      <c r="N6" s="34"/>
      <c r="O6" s="34"/>
      <c r="P6" s="37" t="s">
        <v>382</v>
      </c>
      <c r="Q6" s="37"/>
    </row>
    <row r="7" s="3" customFormat="1" ht="118" customHeight="1" spans="1:17">
      <c r="A7" s="38"/>
      <c r="B7" s="41"/>
      <c r="C7" s="62" t="s">
        <v>383</v>
      </c>
      <c r="D7" s="28">
        <v>0.15</v>
      </c>
      <c r="E7" s="30">
        <v>110</v>
      </c>
      <c r="F7" s="31"/>
      <c r="G7" s="32"/>
      <c r="H7" s="70" t="s">
        <v>384</v>
      </c>
      <c r="I7" s="62"/>
      <c r="J7" s="35">
        <v>95</v>
      </c>
      <c r="K7" s="65"/>
      <c r="L7" s="36"/>
      <c r="M7" s="39"/>
      <c r="N7" s="39"/>
      <c r="O7" s="39"/>
      <c r="P7" s="66" t="s">
        <v>385</v>
      </c>
      <c r="Q7" s="67"/>
    </row>
    <row r="8" s="3" customFormat="1" ht="103" customHeight="1" spans="1:17">
      <c r="A8" s="38"/>
      <c r="B8" s="41"/>
      <c r="C8" s="62" t="s">
        <v>386</v>
      </c>
      <c r="D8" s="28">
        <v>0.15</v>
      </c>
      <c r="E8" s="30">
        <v>120</v>
      </c>
      <c r="F8" s="31"/>
      <c r="G8" s="32"/>
      <c r="H8" s="70" t="s">
        <v>387</v>
      </c>
      <c r="I8" s="62"/>
      <c r="J8" s="35">
        <v>98</v>
      </c>
      <c r="K8" s="65"/>
      <c r="L8" s="36"/>
      <c r="M8" s="39"/>
      <c r="N8" s="39"/>
      <c r="O8" s="39"/>
      <c r="P8" s="66" t="s">
        <v>388</v>
      </c>
      <c r="Q8" s="67"/>
    </row>
    <row r="9" s="3" customFormat="1" ht="107" customHeight="1" spans="1:17">
      <c r="A9" s="40" t="s">
        <v>55</v>
      </c>
      <c r="B9" s="41"/>
      <c r="C9" s="29" t="s">
        <v>56</v>
      </c>
      <c r="D9" s="28">
        <v>0.1</v>
      </c>
      <c r="E9" s="30">
        <v>120</v>
      </c>
      <c r="F9" s="31"/>
      <c r="G9" s="32"/>
      <c r="H9" s="70" t="s">
        <v>389</v>
      </c>
      <c r="I9" s="62"/>
      <c r="J9" s="39">
        <v>100</v>
      </c>
      <c r="K9" s="39"/>
      <c r="L9" s="39"/>
      <c r="M9" s="39"/>
      <c r="N9" s="39"/>
      <c r="O9" s="39"/>
      <c r="P9" s="37" t="s">
        <v>390</v>
      </c>
      <c r="Q9" s="37"/>
    </row>
    <row r="10" s="3" customFormat="1" ht="96" customHeight="1" spans="1:17">
      <c r="A10" s="40"/>
      <c r="B10" s="42"/>
      <c r="C10" s="29" t="s">
        <v>58</v>
      </c>
      <c r="D10" s="28">
        <v>0.1</v>
      </c>
      <c r="E10" s="30">
        <v>120</v>
      </c>
      <c r="F10" s="31"/>
      <c r="G10" s="32"/>
      <c r="H10" s="70" t="s">
        <v>391</v>
      </c>
      <c r="I10" s="62"/>
      <c r="J10" s="39">
        <v>100</v>
      </c>
      <c r="K10" s="39"/>
      <c r="L10" s="39"/>
      <c r="M10" s="39"/>
      <c r="N10" s="39"/>
      <c r="O10" s="39"/>
      <c r="P10" s="37" t="s">
        <v>392</v>
      </c>
      <c r="Q10" s="37"/>
    </row>
    <row r="11" s="1" customFormat="1" ht="49" customHeight="1" spans="1:17">
      <c r="A11" s="43" t="s">
        <v>60</v>
      </c>
      <c r="B11" s="44"/>
      <c r="C11" s="44"/>
      <c r="D11" s="45">
        <f>SUM(D5:D10)</f>
        <v>1</v>
      </c>
      <c r="E11" s="95" cm="1">
        <f t="array" ref="E11">SUMPRODUCT(D5:D10,E5:E10)</f>
        <v>113.5</v>
      </c>
      <c r="F11" s="96"/>
      <c r="G11" s="97"/>
      <c r="H11" s="45"/>
      <c r="I11" s="45"/>
      <c r="J11" s="49" cm="1">
        <f t="array" ref="J11">SUMPRODUCT(D5:D10,J5:J10)</f>
        <v>97.35</v>
      </c>
      <c r="K11" s="50"/>
      <c r="L11" s="50"/>
      <c r="M11" s="50"/>
      <c r="N11" s="50"/>
      <c r="O11" s="51"/>
      <c r="P11" s="46"/>
      <c r="Q11" s="48"/>
    </row>
    <row r="12" s="1" customFormat="1" ht="46" customHeight="1" spans="1:17">
      <c r="A12" s="52" t="s">
        <v>61</v>
      </c>
      <c r="B12" s="52"/>
      <c r="C12" s="52"/>
      <c r="D12" s="52"/>
      <c r="E12" s="52"/>
      <c r="F12" s="52"/>
      <c r="G12" s="52"/>
      <c r="H12" s="98"/>
      <c r="I12" s="98"/>
      <c r="J12" s="52" t="s">
        <v>63</v>
      </c>
      <c r="K12" s="52"/>
      <c r="L12" s="52"/>
      <c r="M12" s="52"/>
      <c r="N12" s="52"/>
      <c r="O12" s="52"/>
      <c r="P12" s="99"/>
      <c r="Q12" s="99"/>
    </row>
    <row r="13" s="1" customFormat="1" ht="48" customHeight="1" spans="1:17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40" customHeight="1" spans="1:17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8"/>
    </row>
    <row r="15" s="4" customFormat="1" ht="40" customHeight="1" spans="1:17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8"/>
    </row>
    <row r="16" s="1" customFormat="1" spans="1:17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4">
    <mergeCell ref="A1:Q1"/>
    <mergeCell ref="A2:C2"/>
    <mergeCell ref="D2:G2"/>
    <mergeCell ref="H2:I2"/>
    <mergeCell ref="J2:L2"/>
    <mergeCell ref="M2:Q2"/>
    <mergeCell ref="A3:C3"/>
    <mergeCell ref="D3:G3"/>
    <mergeCell ref="H3:I3"/>
    <mergeCell ref="J3:L3"/>
    <mergeCell ref="M3:Q3"/>
    <mergeCell ref="A4:C4"/>
    <mergeCell ref="E4:G4"/>
    <mergeCell ref="H4:I4"/>
    <mergeCell ref="J4:O4"/>
    <mergeCell ref="P4:Q4"/>
    <mergeCell ref="E5:G5"/>
    <mergeCell ref="H5:I5"/>
    <mergeCell ref="J5:L5"/>
    <mergeCell ref="P5:Q5"/>
    <mergeCell ref="E6:G6"/>
    <mergeCell ref="H6:I6"/>
    <mergeCell ref="J6:L6"/>
    <mergeCell ref="P6:Q6"/>
    <mergeCell ref="E7:G7"/>
    <mergeCell ref="H7:I7"/>
    <mergeCell ref="J7:L7"/>
    <mergeCell ref="P7:Q7"/>
    <mergeCell ref="E8:G8"/>
    <mergeCell ref="H8:I8"/>
    <mergeCell ref="J8:L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J15:K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5"/>
  <sheetViews>
    <sheetView showGridLines="0" zoomScale="55" zoomScaleNormal="55" topLeftCell="A5" workbookViewId="0">
      <selection activeCell="P5" sqref="P5:Q5"/>
    </sheetView>
  </sheetViews>
  <sheetFormatPr defaultColWidth="9.5" defaultRowHeight="17.25"/>
  <cols>
    <col min="1" max="1" width="23.375" style="1" customWidth="1"/>
    <col min="2" max="2" width="15.125" style="1" hidden="1" customWidth="1"/>
    <col min="3" max="3" width="134.625" style="1" customWidth="1"/>
    <col min="4" max="4" width="17.5" style="2" customWidth="1"/>
    <col min="5" max="5" width="20.75" style="1" customWidth="1"/>
    <col min="6" max="6" width="10" style="1" customWidth="1"/>
    <col min="7" max="7" width="3.125" style="1" hidden="1" customWidth="1"/>
    <col min="8" max="8" width="11.25" style="1" customWidth="1"/>
    <col min="9" max="9" width="81.5" style="1" customWidth="1"/>
    <col min="10" max="10" width="0.25" style="1" hidden="1" customWidth="1"/>
    <col min="11" max="11" width="19.5" style="1" customWidth="1"/>
    <col min="12" max="12" width="28.5" style="1" customWidth="1"/>
    <col min="13" max="13" width="6.5" style="1" hidden="1" customWidth="1"/>
    <col min="14" max="14" width="5.5" style="1" hidden="1" customWidth="1"/>
    <col min="15" max="15" width="8.875" style="1" hidden="1" customWidth="1"/>
    <col min="16" max="16" width="20.125" style="2" customWidth="1"/>
    <col min="17" max="17" width="60.875" style="1" customWidth="1"/>
    <col min="18" max="16372" width="9.5" style="1"/>
  </cols>
  <sheetData>
    <row r="1" s="1" customFormat="1" ht="57" customHeight="1" spans="1:18">
      <c r="A1" s="5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1" customFormat="1" ht="48" customHeight="1" spans="1:18">
      <c r="A2" s="7" t="s">
        <v>30</v>
      </c>
      <c r="B2" s="8"/>
      <c r="C2" s="9"/>
      <c r="D2" s="10" t="s">
        <v>393</v>
      </c>
      <c r="E2" s="10"/>
      <c r="F2" s="10"/>
      <c r="G2" s="10"/>
      <c r="H2" s="11" t="s">
        <v>32</v>
      </c>
      <c r="I2" s="11"/>
      <c r="J2" s="11"/>
      <c r="K2" s="11" t="s">
        <v>31</v>
      </c>
      <c r="L2" s="11"/>
      <c r="M2" s="12" t="s">
        <v>34</v>
      </c>
      <c r="N2" s="12"/>
      <c r="O2" s="12"/>
      <c r="P2" s="12"/>
      <c r="Q2" s="12"/>
    </row>
    <row r="3" s="1" customFormat="1" ht="51" customHeight="1" spans="1:18">
      <c r="A3" s="13" t="s">
        <v>35</v>
      </c>
      <c r="B3" s="14"/>
      <c r="C3" s="15"/>
      <c r="D3" s="16" t="s">
        <v>394</v>
      </c>
      <c r="E3" s="16"/>
      <c r="F3" s="16"/>
      <c r="G3" s="16"/>
      <c r="H3" s="17" t="s">
        <v>37</v>
      </c>
      <c r="I3" s="17"/>
      <c r="J3" s="17"/>
      <c r="K3" s="17" t="s">
        <v>395</v>
      </c>
      <c r="L3" s="17"/>
      <c r="M3" s="18" t="s">
        <v>72</v>
      </c>
      <c r="N3" s="18"/>
      <c r="O3" s="18"/>
      <c r="P3" s="18"/>
      <c r="Q3" s="18"/>
    </row>
    <row r="4" s="2" customFormat="1" ht="54" customHeight="1" spans="1:18">
      <c r="A4" s="19" t="s">
        <v>40</v>
      </c>
      <c r="B4" s="20"/>
      <c r="C4" s="21"/>
      <c r="D4" s="22" t="s">
        <v>41</v>
      </c>
      <c r="E4" s="23" t="s">
        <v>42</v>
      </c>
      <c r="F4" s="24"/>
      <c r="G4" s="25"/>
      <c r="H4" s="26" t="s">
        <v>43</v>
      </c>
      <c r="I4" s="26"/>
      <c r="J4" s="26" t="s">
        <v>44</v>
      </c>
      <c r="K4" s="26"/>
      <c r="L4" s="26"/>
      <c r="M4" s="26"/>
      <c r="N4" s="26"/>
      <c r="O4" s="26"/>
      <c r="P4" s="26" t="s">
        <v>45</v>
      </c>
      <c r="Q4" s="26"/>
    </row>
    <row r="5" s="3" customFormat="1" ht="396.75" customHeight="1" spans="1:18">
      <c r="A5" s="27" t="s">
        <v>46</v>
      </c>
      <c r="B5" s="28"/>
      <c r="C5" s="69" t="s">
        <v>396</v>
      </c>
      <c r="D5" s="28">
        <v>0.4</v>
      </c>
      <c r="E5" s="30">
        <v>118</v>
      </c>
      <c r="F5" s="31"/>
      <c r="G5" s="32"/>
      <c r="H5" s="70" t="s">
        <v>397</v>
      </c>
      <c r="I5" s="62"/>
      <c r="J5" s="39">
        <v>95</v>
      </c>
      <c r="K5" s="39"/>
      <c r="L5" s="39"/>
      <c r="M5" s="39"/>
      <c r="N5" s="39"/>
      <c r="O5" s="39"/>
      <c r="P5" s="71" t="s">
        <v>398</v>
      </c>
      <c r="Q5" s="71"/>
    </row>
    <row r="6" s="3" customFormat="1" ht="150.75" customHeight="1" spans="1:18">
      <c r="A6" s="38"/>
      <c r="B6" s="28"/>
      <c r="C6" s="62" t="s">
        <v>399</v>
      </c>
      <c r="D6" s="28">
        <v>0.15</v>
      </c>
      <c r="E6" s="30">
        <v>117</v>
      </c>
      <c r="F6" s="31"/>
      <c r="G6" s="32"/>
      <c r="H6" s="70" t="s">
        <v>400</v>
      </c>
      <c r="I6" s="62"/>
      <c r="J6" s="39">
        <v>92</v>
      </c>
      <c r="K6" s="39"/>
      <c r="L6" s="39"/>
      <c r="M6" s="39"/>
      <c r="N6" s="39"/>
      <c r="O6" s="39"/>
      <c r="P6" s="71" t="s">
        <v>401</v>
      </c>
      <c r="Q6" s="71"/>
    </row>
    <row r="7" s="3" customFormat="1" ht="150" customHeight="1" spans="1:18">
      <c r="A7" s="38"/>
      <c r="B7" s="28"/>
      <c r="C7" s="69" t="s">
        <v>402</v>
      </c>
      <c r="D7" s="28">
        <v>0.15</v>
      </c>
      <c r="E7" s="30">
        <v>115</v>
      </c>
      <c r="F7" s="31"/>
      <c r="G7" s="32"/>
      <c r="H7" s="70" t="s">
        <v>403</v>
      </c>
      <c r="I7" s="62"/>
      <c r="J7" s="39">
        <v>92</v>
      </c>
      <c r="K7" s="39"/>
      <c r="L7" s="39"/>
      <c r="M7" s="39"/>
      <c r="N7" s="39"/>
      <c r="O7" s="39"/>
      <c r="P7" s="72" t="s">
        <v>404</v>
      </c>
      <c r="Q7" s="73"/>
    </row>
    <row r="8" s="3" customFormat="1" ht="193.5" customHeight="1" spans="1:18">
      <c r="A8" s="38"/>
      <c r="B8" s="28"/>
      <c r="C8" s="62" t="s">
        <v>405</v>
      </c>
      <c r="D8" s="28">
        <v>0.1</v>
      </c>
      <c r="E8" s="30">
        <v>116</v>
      </c>
      <c r="F8" s="31"/>
      <c r="G8" s="32"/>
      <c r="H8" s="70" t="s">
        <v>406</v>
      </c>
      <c r="I8" s="62"/>
      <c r="J8" s="35">
        <v>92</v>
      </c>
      <c r="K8" s="65"/>
      <c r="L8" s="36"/>
      <c r="M8" s="39"/>
      <c r="N8" s="39"/>
      <c r="O8" s="39"/>
      <c r="P8" s="71" t="s">
        <v>407</v>
      </c>
      <c r="Q8" s="71"/>
    </row>
    <row r="9" s="3" customFormat="1" ht="130.5" customHeight="1" spans="1:18">
      <c r="A9" s="40" t="s">
        <v>55</v>
      </c>
      <c r="B9" s="41"/>
      <c r="C9" s="29" t="s">
        <v>56</v>
      </c>
      <c r="D9" s="28">
        <v>0.1</v>
      </c>
      <c r="E9" s="30">
        <v>120</v>
      </c>
      <c r="F9" s="31"/>
      <c r="G9" s="32"/>
      <c r="H9" s="70" t="s">
        <v>408</v>
      </c>
      <c r="I9" s="62"/>
      <c r="J9" s="39">
        <v>95</v>
      </c>
      <c r="K9" s="39"/>
      <c r="L9" s="39"/>
      <c r="M9" s="39"/>
      <c r="N9" s="39"/>
      <c r="O9" s="39"/>
      <c r="P9" s="71"/>
      <c r="Q9" s="71"/>
    </row>
    <row r="10" s="3" customFormat="1" ht="104.25" customHeight="1" spans="1:18">
      <c r="A10" s="40"/>
      <c r="B10" s="42"/>
      <c r="C10" s="29" t="s">
        <v>58</v>
      </c>
      <c r="D10" s="28">
        <v>0.1</v>
      </c>
      <c r="E10" s="30">
        <v>120</v>
      </c>
      <c r="F10" s="31"/>
      <c r="G10" s="32"/>
      <c r="H10" s="70" t="s">
        <v>409</v>
      </c>
      <c r="I10" s="62"/>
      <c r="J10" s="39">
        <v>95</v>
      </c>
      <c r="K10" s="39"/>
      <c r="L10" s="39"/>
      <c r="M10" s="39"/>
      <c r="N10" s="39"/>
      <c r="O10" s="39"/>
      <c r="P10" s="71"/>
      <c r="Q10" s="71"/>
    </row>
    <row r="11" s="1" customFormat="1" ht="48.95" customHeight="1" spans="1:18">
      <c r="A11" s="43" t="s">
        <v>60</v>
      </c>
      <c r="B11" s="44"/>
      <c r="C11" s="44"/>
      <c r="D11" s="45">
        <f>SUM(D5:D10)</f>
        <v>1</v>
      </c>
      <c r="E11" s="46" cm="1">
        <f t="array" ref="E11">SUMPRODUCT(D5:D10,E5:E10)</f>
        <v>117.6</v>
      </c>
      <c r="F11" s="47"/>
      <c r="G11" s="48"/>
      <c r="H11" s="45"/>
      <c r="I11" s="45"/>
      <c r="J11" s="46" cm="1">
        <f t="array" ref="J11">SUMPRODUCT(D5:D10,J5:J10)</f>
        <v>93.8</v>
      </c>
      <c r="K11" s="47"/>
      <c r="L11" s="47"/>
      <c r="M11" s="47"/>
      <c r="N11" s="47"/>
      <c r="O11" s="48"/>
      <c r="P11" s="46"/>
      <c r="Q11" s="48"/>
    </row>
    <row r="12" s="1" customFormat="1" ht="45.95" customHeight="1" spans="1:18">
      <c r="A12" s="52" t="s">
        <v>61</v>
      </c>
      <c r="B12" s="52"/>
      <c r="C12" s="52"/>
      <c r="D12" s="52"/>
      <c r="E12" s="52"/>
      <c r="F12" s="52"/>
      <c r="G12" s="52"/>
      <c r="H12" s="53" t="s">
        <v>62</v>
      </c>
      <c r="I12" s="53"/>
      <c r="J12" s="52" t="s">
        <v>63</v>
      </c>
      <c r="K12" s="52"/>
      <c r="L12" s="52"/>
      <c r="M12" s="52"/>
      <c r="N12" s="52"/>
      <c r="O12" s="52"/>
      <c r="P12" s="54" t="s">
        <v>64</v>
      </c>
      <c r="Q12" s="54"/>
    </row>
    <row r="13" s="1" customFormat="1" ht="48" customHeight="1" spans="1:18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39.95" customHeight="1" spans="1:18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5"/>
      <c r="R14" s="55"/>
    </row>
    <row r="15" s="4" customFormat="1" ht="39.95" customHeight="1" spans="1:18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5"/>
      <c r="R15" s="55"/>
    </row>
    <row r="16" s="1" customFormat="1" spans="1:18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6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F7"/>
    <mergeCell ref="H7:I7"/>
    <mergeCell ref="J7:O7"/>
    <mergeCell ref="P7:Q7"/>
    <mergeCell ref="E8:G8"/>
    <mergeCell ref="H8:I8"/>
    <mergeCell ref="J8:L8"/>
    <mergeCell ref="P8:Q8"/>
    <mergeCell ref="E9:F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Q14:R14"/>
    <mergeCell ref="J15:K15"/>
    <mergeCell ref="Q15:R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5" right="0.75" top="1" bottom="1" header="0.5" footer="0.5"/>
  <pageSetup paperSize="9" scale="36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zoomScale="55" zoomScaleNormal="55" topLeftCell="A6" workbookViewId="0">
      <selection activeCell="H12" sqref="H12:I12"/>
    </sheetView>
  </sheetViews>
  <sheetFormatPr defaultColWidth="9.5" defaultRowHeight="17.25"/>
  <cols>
    <col min="1" max="1" width="26.5" style="1" customWidth="1"/>
    <col min="2" max="2" width="15.125" style="1" hidden="1" customWidth="1"/>
    <col min="3" max="3" width="91.625" style="1" customWidth="1"/>
    <col min="4" max="4" width="21" style="2" customWidth="1"/>
    <col min="5" max="5" width="13.625" style="1" customWidth="1"/>
    <col min="6" max="6" width="10" style="1" customWidth="1"/>
    <col min="7" max="7" width="3.125" style="1" hidden="1" customWidth="1"/>
    <col min="8" max="8" width="11.25" style="1" customWidth="1"/>
    <col min="9" max="9" width="91" style="1" customWidth="1"/>
    <col min="10" max="10" width="2.25" style="1" hidden="1" customWidth="1"/>
    <col min="11" max="11" width="19.5" style="1" customWidth="1"/>
    <col min="12" max="12" width="28.5" style="1" customWidth="1"/>
    <col min="13" max="13" width="6.5" style="1" hidden="1" customWidth="1"/>
    <col min="14" max="14" width="5.5" style="1" hidden="1" customWidth="1"/>
    <col min="15" max="15" width="8.875" style="1" hidden="1" customWidth="1"/>
    <col min="16" max="16" width="20.125" style="2" customWidth="1"/>
    <col min="17" max="17" width="60.875" style="1" customWidth="1"/>
    <col min="18" max="16372" width="9.5" style="1"/>
  </cols>
  <sheetData>
    <row r="1" s="1" customFormat="1" ht="29.25" spans="1:18">
      <c r="A1" s="5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1" customFormat="1" ht="22.5" spans="1:18">
      <c r="A2" s="7" t="s">
        <v>30</v>
      </c>
      <c r="B2" s="8"/>
      <c r="C2" s="9"/>
      <c r="D2" s="10" t="s">
        <v>410</v>
      </c>
      <c r="E2" s="10"/>
      <c r="F2" s="10"/>
      <c r="G2" s="10"/>
      <c r="H2" s="11" t="s">
        <v>32</v>
      </c>
      <c r="I2" s="11"/>
      <c r="J2" s="11"/>
      <c r="K2" s="11" t="s">
        <v>393</v>
      </c>
      <c r="L2" s="11"/>
      <c r="M2" s="12" t="s">
        <v>34</v>
      </c>
      <c r="N2" s="12"/>
      <c r="O2" s="12"/>
      <c r="P2" s="12"/>
      <c r="Q2" s="12"/>
    </row>
    <row r="3" s="1" customFormat="1" ht="22.5" spans="1:18">
      <c r="A3" s="13" t="s">
        <v>35</v>
      </c>
      <c r="B3" s="14"/>
      <c r="C3" s="15"/>
      <c r="D3" s="16" t="s">
        <v>411</v>
      </c>
      <c r="E3" s="16"/>
      <c r="F3" s="16"/>
      <c r="G3" s="16"/>
      <c r="H3" s="17" t="s">
        <v>37</v>
      </c>
      <c r="I3" s="17"/>
      <c r="J3" s="17"/>
      <c r="K3" s="17" t="s">
        <v>412</v>
      </c>
      <c r="L3" s="17"/>
      <c r="M3" s="18" t="s">
        <v>72</v>
      </c>
      <c r="N3" s="18"/>
      <c r="O3" s="18"/>
      <c r="P3" s="18"/>
      <c r="Q3" s="18"/>
    </row>
    <row r="4" s="2" customFormat="1" ht="22.5" spans="1:18">
      <c r="A4" s="19" t="s">
        <v>40</v>
      </c>
      <c r="B4" s="20"/>
      <c r="C4" s="21"/>
      <c r="D4" s="22" t="s">
        <v>41</v>
      </c>
      <c r="E4" s="23" t="s">
        <v>42</v>
      </c>
      <c r="F4" s="24"/>
      <c r="G4" s="25"/>
      <c r="H4" s="26" t="s">
        <v>43</v>
      </c>
      <c r="I4" s="26"/>
      <c r="J4" s="26" t="s">
        <v>44</v>
      </c>
      <c r="K4" s="26"/>
      <c r="L4" s="26"/>
      <c r="M4" s="26"/>
      <c r="N4" s="26"/>
      <c r="O4" s="26"/>
      <c r="P4" s="26" t="s">
        <v>45</v>
      </c>
      <c r="Q4" s="26"/>
    </row>
    <row r="5" s="3" customFormat="1" ht="266.25" customHeight="1" spans="1:18">
      <c r="A5" s="27" t="s">
        <v>46</v>
      </c>
      <c r="B5" s="28"/>
      <c r="C5" s="62" t="s">
        <v>413</v>
      </c>
      <c r="D5" s="28">
        <v>0.4</v>
      </c>
      <c r="E5" s="30">
        <v>115</v>
      </c>
      <c r="F5" s="31"/>
      <c r="G5" s="32"/>
      <c r="H5" s="63" t="s">
        <v>414</v>
      </c>
      <c r="I5" s="64"/>
      <c r="J5" s="39">
        <v>96</v>
      </c>
      <c r="K5" s="39"/>
      <c r="L5" s="39"/>
      <c r="M5" s="39"/>
      <c r="N5" s="39"/>
      <c r="O5" s="39"/>
      <c r="P5" s="37" t="s">
        <v>415</v>
      </c>
      <c r="Q5" s="37"/>
    </row>
    <row r="6" s="3" customFormat="1" ht="286.5" customHeight="1" spans="1:18">
      <c r="A6" s="38"/>
      <c r="B6" s="28"/>
      <c r="C6" s="62" t="s">
        <v>416</v>
      </c>
      <c r="D6" s="28">
        <v>0.2</v>
      </c>
      <c r="E6" s="30">
        <v>110</v>
      </c>
      <c r="F6" s="31"/>
      <c r="G6" s="32"/>
      <c r="H6" s="63" t="s">
        <v>417</v>
      </c>
      <c r="I6" s="64"/>
      <c r="J6" s="39">
        <v>98</v>
      </c>
      <c r="K6" s="39"/>
      <c r="L6" s="39"/>
      <c r="M6" s="39"/>
      <c r="N6" s="39"/>
      <c r="O6" s="39"/>
      <c r="P6" s="37" t="s">
        <v>418</v>
      </c>
      <c r="Q6" s="37"/>
    </row>
    <row r="7" s="3" customFormat="1" ht="219" customHeight="1" spans="1:18">
      <c r="A7" s="38"/>
      <c r="B7" s="28"/>
      <c r="C7" s="62" t="s">
        <v>419</v>
      </c>
      <c r="D7" s="28">
        <v>0.15</v>
      </c>
      <c r="E7" s="30">
        <v>110</v>
      </c>
      <c r="F7" s="31"/>
      <c r="G7" s="32"/>
      <c r="H7" s="63" t="s">
        <v>420</v>
      </c>
      <c r="I7" s="64"/>
      <c r="J7" s="39">
        <v>95</v>
      </c>
      <c r="K7" s="39"/>
      <c r="L7" s="39"/>
      <c r="M7" s="39"/>
      <c r="N7" s="39"/>
      <c r="O7" s="39"/>
      <c r="P7" s="37" t="s">
        <v>421</v>
      </c>
      <c r="Q7" s="37"/>
    </row>
    <row r="8" s="3" customFormat="1" ht="91.5" customHeight="1" spans="1:18">
      <c r="A8" s="38"/>
      <c r="B8" s="41"/>
      <c r="C8" s="29" t="s">
        <v>422</v>
      </c>
      <c r="D8" s="28">
        <v>0.05</v>
      </c>
      <c r="E8" s="30">
        <v>110</v>
      </c>
      <c r="F8" s="31"/>
      <c r="G8" s="32"/>
      <c r="H8" s="63" t="s">
        <v>423</v>
      </c>
      <c r="I8" s="64"/>
      <c r="J8" s="35">
        <v>95</v>
      </c>
      <c r="K8" s="65"/>
      <c r="L8" s="36"/>
      <c r="M8" s="39"/>
      <c r="N8" s="39"/>
      <c r="O8" s="39"/>
      <c r="P8" s="66" t="s">
        <v>424</v>
      </c>
      <c r="Q8" s="67"/>
    </row>
    <row r="9" s="3" customFormat="1" ht="72.75" customHeight="1" spans="1:18">
      <c r="A9" s="40" t="s">
        <v>55</v>
      </c>
      <c r="B9" s="41"/>
      <c r="C9" s="29" t="s">
        <v>56</v>
      </c>
      <c r="D9" s="28">
        <v>0.1</v>
      </c>
      <c r="E9" s="30">
        <v>115</v>
      </c>
      <c r="F9" s="31"/>
      <c r="G9" s="32"/>
      <c r="H9" s="63" t="s">
        <v>425</v>
      </c>
      <c r="I9" s="64"/>
      <c r="J9" s="39">
        <v>100</v>
      </c>
      <c r="K9" s="39"/>
      <c r="L9" s="39"/>
      <c r="M9" s="39"/>
      <c r="N9" s="39"/>
      <c r="O9" s="39"/>
      <c r="P9" s="68" t="s">
        <v>426</v>
      </c>
      <c r="Q9" s="68"/>
    </row>
    <row r="10" s="3" customFormat="1" ht="96" customHeight="1" spans="1:18">
      <c r="A10" s="40"/>
      <c r="B10" s="42"/>
      <c r="C10" s="29" t="s">
        <v>58</v>
      </c>
      <c r="D10" s="28">
        <v>0.1</v>
      </c>
      <c r="E10" s="30">
        <v>115</v>
      </c>
      <c r="F10" s="31"/>
      <c r="G10" s="32"/>
      <c r="H10" s="63" t="s">
        <v>427</v>
      </c>
      <c r="I10" s="64"/>
      <c r="J10" s="39">
        <v>95</v>
      </c>
      <c r="K10" s="39"/>
      <c r="L10" s="39"/>
      <c r="M10" s="39"/>
      <c r="N10" s="39"/>
      <c r="O10" s="39"/>
      <c r="P10" s="68" t="s">
        <v>428</v>
      </c>
      <c r="Q10" s="68"/>
    </row>
    <row r="11" s="1" customFormat="1" ht="22.5" spans="1:18">
      <c r="A11" s="43" t="s">
        <v>60</v>
      </c>
      <c r="B11" s="44"/>
      <c r="C11" s="44"/>
      <c r="D11" s="45">
        <f>SUM(D5:D10)</f>
        <v>1</v>
      </c>
      <c r="E11" s="46" cm="1">
        <f t="array" ref="E11">SUMPRODUCT(D5:D10,E5:E10)</f>
        <v>113</v>
      </c>
      <c r="F11" s="47"/>
      <c r="G11" s="48"/>
      <c r="H11" s="45"/>
      <c r="I11" s="45"/>
      <c r="J11" s="49" cm="1">
        <f t="array" ref="J11">SUMPRODUCT(D5:D10,J5:J10)</f>
        <v>96.5</v>
      </c>
      <c r="K11" s="50"/>
      <c r="L11" s="50"/>
      <c r="M11" s="50"/>
      <c r="N11" s="50"/>
      <c r="O11" s="51"/>
      <c r="P11" s="46"/>
      <c r="Q11" s="48"/>
    </row>
    <row r="12" s="1" customFormat="1" ht="22.5" spans="1:18">
      <c r="A12" s="52" t="s">
        <v>61</v>
      </c>
      <c r="B12" s="52"/>
      <c r="C12" s="52"/>
      <c r="D12" s="52"/>
      <c r="E12" s="52"/>
      <c r="F12" s="52"/>
      <c r="G12" s="52"/>
      <c r="H12" s="53"/>
      <c r="I12" s="53"/>
      <c r="J12" s="52" t="s">
        <v>63</v>
      </c>
      <c r="K12" s="52"/>
      <c r="L12" s="52"/>
      <c r="M12" s="52"/>
      <c r="N12" s="52"/>
      <c r="O12" s="52"/>
      <c r="P12" s="54" t="s">
        <v>64</v>
      </c>
      <c r="Q12" s="54"/>
    </row>
    <row r="13" s="1" customFormat="1" ht="22.5" spans="1:18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22.5" spans="1:18">
      <c r="A14" s="55"/>
      <c r="B14" s="55"/>
      <c r="C14" s="55"/>
      <c r="D14" s="56" t="s">
        <v>66</v>
      </c>
      <c r="E14" s="57"/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5"/>
      <c r="R14" s="55"/>
    </row>
    <row r="15" s="4" customFormat="1" ht="22.5" spans="1:18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5"/>
      <c r="R15" s="55"/>
    </row>
    <row r="16" s="1" customFormat="1" spans="1:18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6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L8"/>
    <mergeCell ref="P8:Q8"/>
    <mergeCell ref="E9:F9"/>
    <mergeCell ref="H9:I9"/>
    <mergeCell ref="J9:O9"/>
    <mergeCell ref="P9:Q9"/>
    <mergeCell ref="E10:G10"/>
    <mergeCell ref="H10:I10"/>
    <mergeCell ref="J10:O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Q14:R14"/>
    <mergeCell ref="J15:K15"/>
    <mergeCell ref="Q15:R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zoomScale="70" zoomScaleNormal="70" topLeftCell="C1" workbookViewId="0">
      <selection activeCell="H13" sqref="H13:I13"/>
    </sheetView>
  </sheetViews>
  <sheetFormatPr defaultColWidth="9.5" defaultRowHeight="17.25"/>
  <cols>
    <col min="1" max="1" width="27.875" style="1" customWidth="1"/>
    <col min="2" max="2" width="15.125" style="1" hidden="1" customWidth="1"/>
    <col min="3" max="3" width="68.75" style="1" customWidth="1"/>
    <col min="4" max="4" width="21.75" style="2" customWidth="1"/>
    <col min="5" max="5" width="12.875" style="1" customWidth="1"/>
    <col min="6" max="6" width="9.25" style="1" customWidth="1"/>
    <col min="7" max="7" width="3.125" style="1" hidden="1" customWidth="1"/>
    <col min="8" max="8" width="11.25" style="1" customWidth="1"/>
    <col min="9" max="9" width="81.5" style="1" customWidth="1"/>
    <col min="10" max="10" width="0.25" style="1" hidden="1" customWidth="1"/>
    <col min="11" max="11" width="19.5" style="1" customWidth="1"/>
    <col min="12" max="12" width="28.5" style="1" customWidth="1"/>
    <col min="13" max="13" width="6.5" style="1" hidden="1" customWidth="1"/>
    <col min="14" max="14" width="5.5" style="1" hidden="1" customWidth="1"/>
    <col min="15" max="15" width="8.875" style="1" hidden="1" customWidth="1"/>
    <col min="16" max="16" width="20.125" style="2" customWidth="1"/>
    <col min="17" max="17" width="60.875" style="1" customWidth="1"/>
    <col min="18" max="16372" width="9.5" style="1"/>
  </cols>
  <sheetData>
    <row r="1" s="1" customFormat="1" ht="29.25" spans="1:18">
      <c r="A1" s="5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1" customFormat="1" ht="22.5" spans="1:18">
      <c r="A2" s="7" t="s">
        <v>30</v>
      </c>
      <c r="B2" s="8"/>
      <c r="C2" s="9"/>
      <c r="D2" s="10" t="s">
        <v>429</v>
      </c>
      <c r="E2" s="10"/>
      <c r="F2" s="10"/>
      <c r="G2" s="10"/>
      <c r="H2" s="11" t="s">
        <v>32</v>
      </c>
      <c r="I2" s="11"/>
      <c r="J2" s="11"/>
      <c r="K2" s="11" t="s">
        <v>393</v>
      </c>
      <c r="L2" s="11"/>
      <c r="M2" s="12" t="s">
        <v>34</v>
      </c>
      <c r="N2" s="12"/>
      <c r="O2" s="12"/>
      <c r="P2" s="12"/>
      <c r="Q2" s="12"/>
    </row>
    <row r="3" s="1" customFormat="1" ht="22.5" spans="1:18">
      <c r="A3" s="13" t="s">
        <v>35</v>
      </c>
      <c r="B3" s="14"/>
      <c r="C3" s="15"/>
      <c r="D3" s="16" t="s">
        <v>430</v>
      </c>
      <c r="E3" s="16"/>
      <c r="F3" s="16"/>
      <c r="G3" s="16"/>
      <c r="H3" s="17" t="s">
        <v>37</v>
      </c>
      <c r="I3" s="17"/>
      <c r="J3" s="17"/>
      <c r="K3" s="17" t="s">
        <v>412</v>
      </c>
      <c r="L3" s="17"/>
      <c r="M3" s="18" t="s">
        <v>72</v>
      </c>
      <c r="N3" s="18"/>
      <c r="O3" s="18"/>
      <c r="P3" s="18"/>
      <c r="Q3" s="18"/>
    </row>
    <row r="4" s="2" customFormat="1" ht="22.5" spans="1:18">
      <c r="A4" s="19" t="s">
        <v>40</v>
      </c>
      <c r="B4" s="20"/>
      <c r="C4" s="21"/>
      <c r="D4" s="22" t="s">
        <v>41</v>
      </c>
      <c r="E4" s="23" t="s">
        <v>42</v>
      </c>
      <c r="F4" s="24"/>
      <c r="G4" s="25"/>
      <c r="H4" s="26" t="s">
        <v>43</v>
      </c>
      <c r="I4" s="26"/>
      <c r="J4" s="26" t="s">
        <v>44</v>
      </c>
      <c r="K4" s="26"/>
      <c r="L4" s="26"/>
      <c r="M4" s="26"/>
      <c r="N4" s="26"/>
      <c r="O4" s="26"/>
      <c r="P4" s="26" t="s">
        <v>45</v>
      </c>
      <c r="Q4" s="26"/>
    </row>
    <row r="5" s="3" customFormat="1" ht="22.5" spans="1:18">
      <c r="A5" s="27" t="s">
        <v>46</v>
      </c>
      <c r="B5" s="28"/>
      <c r="C5" s="29" t="s">
        <v>431</v>
      </c>
      <c r="D5" s="28">
        <v>0.25</v>
      </c>
      <c r="E5" s="30">
        <v>116</v>
      </c>
      <c r="F5" s="31"/>
      <c r="G5" s="32"/>
      <c r="H5" s="33" t="s">
        <v>432</v>
      </c>
      <c r="I5" s="29"/>
      <c r="J5" s="39">
        <v>92</v>
      </c>
      <c r="K5" s="39"/>
      <c r="L5" s="39"/>
      <c r="M5" s="39"/>
      <c r="N5" s="39"/>
      <c r="O5" s="39"/>
      <c r="P5" s="37" t="s">
        <v>433</v>
      </c>
      <c r="Q5" s="37"/>
    </row>
    <row r="6" s="3" customFormat="1" ht="22.5" spans="1:18">
      <c r="A6" s="38"/>
      <c r="B6" s="28"/>
      <c r="C6" s="29" t="s">
        <v>434</v>
      </c>
      <c r="D6" s="28">
        <v>0.15</v>
      </c>
      <c r="E6" s="30">
        <v>115</v>
      </c>
      <c r="F6" s="31"/>
      <c r="G6" s="32"/>
      <c r="H6" s="33" t="s">
        <v>432</v>
      </c>
      <c r="I6" s="29"/>
      <c r="J6" s="39">
        <v>95</v>
      </c>
      <c r="K6" s="39"/>
      <c r="L6" s="39"/>
      <c r="M6" s="39"/>
      <c r="N6" s="39"/>
      <c r="O6" s="39"/>
      <c r="P6" s="37" t="s">
        <v>435</v>
      </c>
      <c r="Q6" s="37"/>
    </row>
    <row r="7" s="3" customFormat="1" ht="48" customHeight="1" spans="1:18">
      <c r="A7" s="38"/>
      <c r="B7" s="28"/>
      <c r="C7" s="29" t="s">
        <v>436</v>
      </c>
      <c r="D7" s="28">
        <v>0.05</v>
      </c>
      <c r="E7" s="30">
        <v>114</v>
      </c>
      <c r="F7" s="31"/>
      <c r="G7" s="32"/>
      <c r="H7" s="33" t="s">
        <v>437</v>
      </c>
      <c r="I7" s="29"/>
      <c r="J7" s="39">
        <v>90</v>
      </c>
      <c r="K7" s="39"/>
      <c r="L7" s="39"/>
      <c r="M7" s="39"/>
      <c r="N7" s="39"/>
      <c r="O7" s="39"/>
      <c r="P7" s="37" t="s">
        <v>438</v>
      </c>
      <c r="Q7" s="37"/>
    </row>
    <row r="8" s="3" customFormat="1" ht="22.5" spans="1:18">
      <c r="A8" s="38"/>
      <c r="B8" s="28"/>
      <c r="C8" s="29" t="s">
        <v>439</v>
      </c>
      <c r="D8" s="28">
        <v>0.1</v>
      </c>
      <c r="E8" s="30">
        <v>115</v>
      </c>
      <c r="F8" s="31"/>
      <c r="G8" s="32"/>
      <c r="H8" s="33" t="s">
        <v>440</v>
      </c>
      <c r="I8" s="29"/>
      <c r="J8" s="39">
        <v>90</v>
      </c>
      <c r="K8" s="39"/>
      <c r="L8" s="39"/>
      <c r="M8" s="39"/>
      <c r="N8" s="39"/>
      <c r="O8" s="39"/>
      <c r="P8" s="37" t="s">
        <v>433</v>
      </c>
      <c r="Q8" s="37"/>
    </row>
    <row r="9" s="3" customFormat="1" ht="45" spans="1:18">
      <c r="A9" s="38"/>
      <c r="B9" s="28"/>
      <c r="C9" s="29" t="s">
        <v>441</v>
      </c>
      <c r="D9" s="28">
        <v>0.25</v>
      </c>
      <c r="E9" s="30">
        <v>113</v>
      </c>
      <c r="F9" s="31"/>
      <c r="G9" s="32"/>
      <c r="H9" s="33" t="s">
        <v>442</v>
      </c>
      <c r="I9" s="29"/>
      <c r="J9" s="39">
        <v>95</v>
      </c>
      <c r="K9" s="39"/>
      <c r="L9" s="39"/>
      <c r="M9" s="39"/>
      <c r="N9" s="39"/>
      <c r="O9" s="39"/>
      <c r="P9" s="37" t="s">
        <v>443</v>
      </c>
      <c r="Q9" s="37"/>
    </row>
    <row r="10" s="3" customFormat="1" ht="22.5" spans="1:18">
      <c r="A10" s="40" t="s">
        <v>55</v>
      </c>
      <c r="B10" s="41"/>
      <c r="C10" s="29" t="s">
        <v>56</v>
      </c>
      <c r="D10" s="28">
        <v>0.1</v>
      </c>
      <c r="E10" s="30">
        <v>114</v>
      </c>
      <c r="F10" s="31"/>
      <c r="G10" s="32"/>
      <c r="H10" s="33" t="s">
        <v>444</v>
      </c>
      <c r="I10" s="29"/>
      <c r="J10" s="39">
        <v>95</v>
      </c>
      <c r="K10" s="39"/>
      <c r="L10" s="39"/>
      <c r="M10" s="39"/>
      <c r="N10" s="39"/>
      <c r="O10" s="39"/>
      <c r="P10" s="37" t="s">
        <v>445</v>
      </c>
      <c r="Q10" s="37"/>
    </row>
    <row r="11" s="3" customFormat="1" ht="22.5" spans="1:18">
      <c r="A11" s="40"/>
      <c r="B11" s="42"/>
      <c r="C11" s="29" t="s">
        <v>58</v>
      </c>
      <c r="D11" s="28">
        <v>0.1</v>
      </c>
      <c r="E11" s="30">
        <v>115</v>
      </c>
      <c r="F11" s="31"/>
      <c r="G11" s="32"/>
      <c r="H11" s="33" t="s">
        <v>446</v>
      </c>
      <c r="I11" s="29"/>
      <c r="J11" s="39">
        <v>95</v>
      </c>
      <c r="K11" s="39"/>
      <c r="L11" s="39"/>
      <c r="M11" s="39"/>
      <c r="N11" s="39"/>
      <c r="O11" s="39"/>
      <c r="P11" s="37" t="s">
        <v>447</v>
      </c>
      <c r="Q11" s="37"/>
    </row>
    <row r="12" s="1" customFormat="1" ht="22.5" spans="1:18">
      <c r="A12" s="43" t="s">
        <v>60</v>
      </c>
      <c r="B12" s="44"/>
      <c r="C12" s="44"/>
      <c r="D12" s="45">
        <f>SUM(D5:D11)</f>
        <v>1</v>
      </c>
      <c r="E12" s="46" cm="1">
        <f t="array" ref="E12">SUMPRODUCT(D5:D11,E5:E11)</f>
        <v>114.6</v>
      </c>
      <c r="F12" s="47"/>
      <c r="G12" s="48"/>
      <c r="H12" s="45"/>
      <c r="I12" s="45"/>
      <c r="J12" s="49" cm="1">
        <f t="array" ref="J12">SUMPRODUCT(D5:D11,J5:J11)</f>
        <v>93.5</v>
      </c>
      <c r="K12" s="50"/>
      <c r="L12" s="50"/>
      <c r="M12" s="50"/>
      <c r="N12" s="50"/>
      <c r="O12" s="51"/>
      <c r="P12" s="46"/>
      <c r="Q12" s="48"/>
    </row>
    <row r="13" s="1" customFormat="1" ht="22.5" spans="1:18">
      <c r="A13" s="52" t="s">
        <v>61</v>
      </c>
      <c r="B13" s="52"/>
      <c r="C13" s="52"/>
      <c r="D13" s="52"/>
      <c r="E13" s="52"/>
      <c r="F13" s="52"/>
      <c r="G13" s="52"/>
      <c r="H13" s="53"/>
      <c r="I13" s="53"/>
      <c r="J13" s="52" t="s">
        <v>63</v>
      </c>
      <c r="K13" s="52"/>
      <c r="L13" s="52"/>
      <c r="M13" s="52"/>
      <c r="N13" s="52"/>
      <c r="O13" s="52"/>
      <c r="P13" s="54" t="s">
        <v>64</v>
      </c>
      <c r="Q13" s="54"/>
    </row>
    <row r="14" s="1" customFormat="1" ht="22.5" spans="1:18">
      <c r="A14" s="54" t="s">
        <v>65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="4" customFormat="1" ht="22.5" spans="1:18">
      <c r="A15" s="55"/>
      <c r="B15" s="55"/>
      <c r="C15" s="55"/>
      <c r="D15" s="56" t="s">
        <v>66</v>
      </c>
      <c r="E15" s="57"/>
      <c r="F15" s="58"/>
      <c r="G15" s="58"/>
      <c r="H15" s="58"/>
      <c r="I15" s="58"/>
      <c r="J15" s="55" t="s">
        <v>67</v>
      </c>
      <c r="K15" s="55"/>
      <c r="L15" s="57"/>
      <c r="M15" s="57"/>
      <c r="N15" s="58"/>
      <c r="O15" s="58"/>
      <c r="P15" s="59"/>
      <c r="Q15" s="55"/>
      <c r="R15" s="55"/>
    </row>
    <row r="16" s="4" customFormat="1" ht="22.5" spans="1:18">
      <c r="A16" s="55"/>
      <c r="B16" s="55"/>
      <c r="C16" s="55"/>
      <c r="D16" s="56" t="s">
        <v>68</v>
      </c>
      <c r="E16" s="57"/>
      <c r="F16" s="58"/>
      <c r="G16" s="58"/>
      <c r="H16" s="58"/>
      <c r="I16" s="58"/>
      <c r="J16" s="55" t="s">
        <v>68</v>
      </c>
      <c r="K16" s="55"/>
      <c r="L16" s="60"/>
      <c r="M16" s="60"/>
      <c r="N16" s="58"/>
      <c r="O16" s="58"/>
      <c r="P16" s="59"/>
      <c r="Q16" s="55"/>
      <c r="R16" s="55"/>
    </row>
    <row r="17" s="1" customFormat="1" spans="1:16">
      <c r="D17" s="2"/>
      <c r="P17" s="2"/>
    </row>
    <row r="18" s="1" customFormat="1" ht="22.5" spans="1:16">
      <c r="A18" s="61"/>
      <c r="B18" s="61"/>
      <c r="C18" s="61"/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  <c r="P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</sheetData>
  <mergeCells count="60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J5:O5"/>
    <mergeCell ref="P5:Q5"/>
    <mergeCell ref="E6:G6"/>
    <mergeCell ref="H6:I6"/>
    <mergeCell ref="J6:O6"/>
    <mergeCell ref="P6:Q6"/>
    <mergeCell ref="E7:G7"/>
    <mergeCell ref="H7:I7"/>
    <mergeCell ref="J7:O7"/>
    <mergeCell ref="P7:Q7"/>
    <mergeCell ref="E8:G8"/>
    <mergeCell ref="H8:I8"/>
    <mergeCell ref="J8:O8"/>
    <mergeCell ref="P8:Q8"/>
    <mergeCell ref="E9:G9"/>
    <mergeCell ref="H9:I9"/>
    <mergeCell ref="J9:O9"/>
    <mergeCell ref="P9:Q9"/>
    <mergeCell ref="E10:G10"/>
    <mergeCell ref="H10:I10"/>
    <mergeCell ref="J10:O10"/>
    <mergeCell ref="P10:Q10"/>
    <mergeCell ref="E11:G11"/>
    <mergeCell ref="H11:I11"/>
    <mergeCell ref="J11:O11"/>
    <mergeCell ref="P11:Q11"/>
    <mergeCell ref="A12:B12"/>
    <mergeCell ref="E12:G12"/>
    <mergeCell ref="H12:I12"/>
    <mergeCell ref="J12:O12"/>
    <mergeCell ref="P12:Q12"/>
    <mergeCell ref="A13:G13"/>
    <mergeCell ref="H13:I13"/>
    <mergeCell ref="J13:O13"/>
    <mergeCell ref="P13:Q13"/>
    <mergeCell ref="A14:Q14"/>
    <mergeCell ref="J15:K15"/>
    <mergeCell ref="Q15:R15"/>
    <mergeCell ref="J16:K16"/>
    <mergeCell ref="Q16:R16"/>
    <mergeCell ref="A5:A9"/>
    <mergeCell ref="A10:A11"/>
  </mergeCells>
  <dataValidations count="1">
    <dataValidation type="list" allowBlank="1" showInputMessage="1" showErrorMessage="1" sqref="H13">
      <formula1>"A+,A,B+,B,C,（绩效等级确定后在此处填写）"</formula1>
    </dataValidation>
  </dataValidation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zoomScale="70" zoomScaleNormal="70" workbookViewId="0">
      <selection activeCell="I21" sqref="I21"/>
    </sheetView>
  </sheetViews>
  <sheetFormatPr defaultColWidth="9.5" defaultRowHeight="17.25"/>
  <cols>
    <col min="1" max="1" width="24.25" style="1" customWidth="1"/>
    <col min="2" max="2" width="15.125" style="1" hidden="1" customWidth="1"/>
    <col min="3" max="3" width="32.5" style="1" customWidth="1"/>
    <col min="4" max="4" width="16.375" style="2" customWidth="1"/>
    <col min="5" max="5" width="14.875" style="1" customWidth="1"/>
    <col min="6" max="6" width="10" style="1" customWidth="1"/>
    <col min="7" max="7" width="3.125" style="1" hidden="1" customWidth="1"/>
    <col min="8" max="8" width="11.25" style="1" customWidth="1"/>
    <col min="9" max="9" width="81.5" style="1" customWidth="1"/>
    <col min="10" max="10" width="0.25" style="1" hidden="1" customWidth="1"/>
    <col min="11" max="11" width="19.5" style="1" customWidth="1"/>
    <col min="12" max="12" width="28.5" style="1" customWidth="1"/>
    <col min="13" max="13" width="6.5" style="1" hidden="1" customWidth="1"/>
    <col min="14" max="14" width="5.5" style="1" hidden="1" customWidth="1"/>
    <col min="15" max="15" width="8.875" style="1" hidden="1" customWidth="1"/>
    <col min="16" max="16" width="20.125" style="2" customWidth="1"/>
    <col min="17" max="17" width="60.875" style="1" customWidth="1"/>
    <col min="18" max="16372" width="9.5" style="1"/>
  </cols>
  <sheetData>
    <row r="1" s="1" customFormat="1" ht="29.25" spans="1:18">
      <c r="A1" s="5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1" customFormat="1" ht="22.5" spans="1:18">
      <c r="A2" s="7" t="s">
        <v>30</v>
      </c>
      <c r="B2" s="8"/>
      <c r="C2" s="9"/>
      <c r="D2" s="10" t="s">
        <v>448</v>
      </c>
      <c r="E2" s="10"/>
      <c r="F2" s="10"/>
      <c r="G2" s="10"/>
      <c r="H2" s="11" t="s">
        <v>32</v>
      </c>
      <c r="I2" s="11"/>
      <c r="J2" s="11"/>
      <c r="K2" s="11" t="s">
        <v>393</v>
      </c>
      <c r="L2" s="11"/>
      <c r="M2" s="12" t="s">
        <v>34</v>
      </c>
      <c r="N2" s="12"/>
      <c r="O2" s="12"/>
      <c r="P2" s="12"/>
      <c r="Q2" s="12"/>
    </row>
    <row r="3" s="1" customFormat="1" ht="22.5" spans="1:18">
      <c r="A3" s="13" t="s">
        <v>35</v>
      </c>
      <c r="B3" s="14"/>
      <c r="C3" s="15"/>
      <c r="D3" s="16" t="s">
        <v>449</v>
      </c>
      <c r="E3" s="16"/>
      <c r="F3" s="16"/>
      <c r="G3" s="16"/>
      <c r="H3" s="17" t="s">
        <v>37</v>
      </c>
      <c r="I3" s="17"/>
      <c r="J3" s="17"/>
      <c r="K3" s="17" t="s">
        <v>412</v>
      </c>
      <c r="L3" s="17"/>
      <c r="M3" s="18" t="s">
        <v>72</v>
      </c>
      <c r="N3" s="18"/>
      <c r="O3" s="18"/>
      <c r="P3" s="18"/>
      <c r="Q3" s="18"/>
    </row>
    <row r="4" s="2" customFormat="1" ht="22.5" spans="1:18">
      <c r="A4" s="19" t="s">
        <v>40</v>
      </c>
      <c r="B4" s="20"/>
      <c r="C4" s="21"/>
      <c r="D4" s="22" t="s">
        <v>41</v>
      </c>
      <c r="E4" s="23" t="s">
        <v>42</v>
      </c>
      <c r="F4" s="24"/>
      <c r="G4" s="25"/>
      <c r="H4" s="26" t="s">
        <v>43</v>
      </c>
      <c r="I4" s="26"/>
      <c r="J4" s="26" t="s">
        <v>44</v>
      </c>
      <c r="K4" s="26"/>
      <c r="L4" s="26"/>
      <c r="M4" s="26"/>
      <c r="N4" s="26"/>
      <c r="O4" s="26"/>
      <c r="P4" s="26" t="s">
        <v>45</v>
      </c>
      <c r="Q4" s="26"/>
    </row>
    <row r="5" s="3" customFormat="1" ht="45" spans="1:18">
      <c r="A5" s="27" t="s">
        <v>46</v>
      </c>
      <c r="B5" s="28"/>
      <c r="C5" s="29" t="s">
        <v>450</v>
      </c>
      <c r="D5" s="28">
        <v>0.2</v>
      </c>
      <c r="E5" s="30">
        <v>115</v>
      </c>
      <c r="F5" s="31"/>
      <c r="G5" s="32"/>
      <c r="H5" s="33" t="s">
        <v>451</v>
      </c>
      <c r="I5" s="29"/>
      <c r="J5" s="34">
        <v>100</v>
      </c>
      <c r="K5" s="35">
        <v>92</v>
      </c>
      <c r="L5" s="36"/>
      <c r="M5" s="34"/>
      <c r="N5" s="34"/>
      <c r="O5" s="34"/>
      <c r="P5" s="37" t="s">
        <v>452</v>
      </c>
      <c r="Q5" s="37"/>
    </row>
    <row r="6" s="3" customFormat="1" ht="22.5" spans="1:18">
      <c r="A6" s="38"/>
      <c r="B6" s="28"/>
      <c r="C6" s="29" t="s">
        <v>453</v>
      </c>
      <c r="D6" s="28">
        <v>0.2</v>
      </c>
      <c r="E6" s="30">
        <v>120</v>
      </c>
      <c r="F6" s="31"/>
      <c r="G6" s="32"/>
      <c r="H6" s="33" t="s">
        <v>454</v>
      </c>
      <c r="I6" s="29"/>
      <c r="J6" s="39"/>
      <c r="K6" s="35">
        <v>95</v>
      </c>
      <c r="L6" s="36"/>
      <c r="M6" s="39"/>
      <c r="N6" s="39"/>
      <c r="O6" s="39"/>
      <c r="P6" s="37" t="s">
        <v>452</v>
      </c>
      <c r="Q6" s="37"/>
    </row>
    <row r="7" s="3" customFormat="1" ht="22.5" spans="1:18">
      <c r="A7" s="38"/>
      <c r="B7" s="28"/>
      <c r="C7" s="29" t="s">
        <v>455</v>
      </c>
      <c r="D7" s="28">
        <v>0.05</v>
      </c>
      <c r="E7" s="30">
        <v>115</v>
      </c>
      <c r="F7" s="31"/>
      <c r="G7" s="32"/>
      <c r="H7" s="33" t="s">
        <v>456</v>
      </c>
      <c r="I7" s="29"/>
      <c r="J7" s="34">
        <v>100</v>
      </c>
      <c r="K7" s="35">
        <v>95</v>
      </c>
      <c r="L7" s="36"/>
      <c r="M7" s="34"/>
      <c r="N7" s="34"/>
      <c r="O7" s="34"/>
      <c r="P7" s="37" t="s">
        <v>452</v>
      </c>
      <c r="Q7" s="37"/>
    </row>
    <row r="8" s="3" customFormat="1" ht="22.5" spans="1:18">
      <c r="A8" s="38"/>
      <c r="B8" s="28"/>
      <c r="C8" s="29" t="s">
        <v>457</v>
      </c>
      <c r="D8" s="28">
        <v>0.35</v>
      </c>
      <c r="E8" s="30">
        <v>115</v>
      </c>
      <c r="F8" s="31"/>
      <c r="G8" s="32"/>
      <c r="H8" s="33" t="s">
        <v>458</v>
      </c>
      <c r="I8" s="29"/>
      <c r="J8" s="34">
        <v>112</v>
      </c>
      <c r="K8" s="35">
        <v>95</v>
      </c>
      <c r="L8" s="36"/>
      <c r="M8" s="34"/>
      <c r="N8" s="34"/>
      <c r="O8" s="34"/>
      <c r="P8" s="37" t="s">
        <v>452</v>
      </c>
      <c r="Q8" s="37"/>
    </row>
    <row r="9" s="3" customFormat="1" ht="22.5" spans="1:18">
      <c r="A9" s="40" t="s">
        <v>55</v>
      </c>
      <c r="B9" s="41"/>
      <c r="C9" s="29" t="s">
        <v>56</v>
      </c>
      <c r="D9" s="28">
        <v>0.1</v>
      </c>
      <c r="E9" s="30">
        <v>115</v>
      </c>
      <c r="F9" s="31"/>
      <c r="G9" s="32"/>
      <c r="H9" s="33" t="s">
        <v>459</v>
      </c>
      <c r="I9" s="29"/>
      <c r="J9" s="34">
        <v>100</v>
      </c>
      <c r="K9" s="35">
        <v>98</v>
      </c>
      <c r="L9" s="36"/>
      <c r="M9" s="34"/>
      <c r="N9" s="34"/>
      <c r="O9" s="34"/>
      <c r="P9" s="37" t="s">
        <v>460</v>
      </c>
      <c r="Q9" s="37"/>
    </row>
    <row r="10" s="3" customFormat="1" ht="22.5" spans="1:18">
      <c r="A10" s="40"/>
      <c r="B10" s="42"/>
      <c r="C10" s="29" t="s">
        <v>58</v>
      </c>
      <c r="D10" s="28">
        <v>0.1</v>
      </c>
      <c r="E10" s="30">
        <v>115</v>
      </c>
      <c r="F10" s="31"/>
      <c r="G10" s="32"/>
      <c r="H10" s="33" t="s">
        <v>461</v>
      </c>
      <c r="I10" s="29"/>
      <c r="J10" s="34">
        <v>112</v>
      </c>
      <c r="K10" s="35">
        <v>98</v>
      </c>
      <c r="L10" s="36"/>
      <c r="M10" s="34"/>
      <c r="N10" s="34"/>
      <c r="O10" s="34"/>
      <c r="P10" s="37" t="s">
        <v>462</v>
      </c>
      <c r="Q10" s="37"/>
    </row>
    <row r="11" s="1" customFormat="1" ht="22.5" spans="1:18">
      <c r="A11" s="43" t="s">
        <v>60</v>
      </c>
      <c r="B11" s="44"/>
      <c r="C11" s="44"/>
      <c r="D11" s="45">
        <f>SUM(D5:D10)</f>
        <v>1</v>
      </c>
      <c r="E11" s="46" cm="1">
        <f t="array" ref="E11">SUMPRODUCT(D5:D10,E5:E10)</f>
        <v>116</v>
      </c>
      <c r="F11" s="47"/>
      <c r="G11" s="48"/>
      <c r="H11" s="45"/>
      <c r="I11" s="45"/>
      <c r="J11" s="49">
        <f>SUMPRODUCT(D5:D10,K5:K10)</f>
        <v>95</v>
      </c>
      <c r="K11" s="50"/>
      <c r="L11" s="50"/>
      <c r="M11" s="50"/>
      <c r="N11" s="50"/>
      <c r="O11" s="51"/>
      <c r="P11" s="46"/>
      <c r="Q11" s="48"/>
    </row>
    <row r="12" s="1" customFormat="1" ht="22.5" spans="1:18">
      <c r="A12" s="52" t="s">
        <v>61</v>
      </c>
      <c r="B12" s="52"/>
      <c r="C12" s="52"/>
      <c r="D12" s="52"/>
      <c r="E12" s="52"/>
      <c r="F12" s="52"/>
      <c r="G12" s="52"/>
      <c r="H12" s="53"/>
      <c r="I12" s="53"/>
      <c r="J12" s="52" t="s">
        <v>63</v>
      </c>
      <c r="K12" s="52"/>
      <c r="L12" s="52"/>
      <c r="M12" s="52"/>
      <c r="N12" s="52"/>
      <c r="O12" s="52"/>
      <c r="P12" s="54" t="s">
        <v>64</v>
      </c>
      <c r="Q12" s="54"/>
    </row>
    <row r="13" s="1" customFormat="1" ht="22.5" spans="1:18">
      <c r="A13" s="54" t="s">
        <v>65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="4" customFormat="1" ht="22.5" spans="1:18">
      <c r="A14" s="55"/>
      <c r="B14" s="55"/>
      <c r="C14" s="55"/>
      <c r="D14" s="56" t="s">
        <v>66</v>
      </c>
      <c r="E14" s="57" t="s">
        <v>463</v>
      </c>
      <c r="F14" s="58"/>
      <c r="G14" s="58"/>
      <c r="H14" s="58"/>
      <c r="I14" s="58"/>
      <c r="J14" s="55" t="s">
        <v>67</v>
      </c>
      <c r="K14" s="55"/>
      <c r="L14" s="57"/>
      <c r="M14" s="57"/>
      <c r="N14" s="58"/>
      <c r="O14" s="58"/>
      <c r="P14" s="59"/>
      <c r="Q14" s="55"/>
      <c r="R14" s="55"/>
    </row>
    <row r="15" s="4" customFormat="1" ht="22.5" spans="1:18">
      <c r="A15" s="55"/>
      <c r="B15" s="55"/>
      <c r="C15" s="55"/>
      <c r="D15" s="56" t="s">
        <v>68</v>
      </c>
      <c r="E15" s="57"/>
      <c r="F15" s="58"/>
      <c r="G15" s="58"/>
      <c r="H15" s="58"/>
      <c r="I15" s="58"/>
      <c r="J15" s="55" t="s">
        <v>68</v>
      </c>
      <c r="K15" s="55"/>
      <c r="L15" s="60"/>
      <c r="M15" s="60"/>
      <c r="N15" s="58"/>
      <c r="O15" s="58"/>
      <c r="P15" s="59"/>
      <c r="Q15" s="55"/>
      <c r="R15" s="55"/>
    </row>
    <row r="16" s="1" customFormat="1" spans="1:18">
      <c r="D16" s="2"/>
      <c r="P16" s="2"/>
    </row>
    <row r="17" s="1" customFormat="1" ht="22.5" spans="1:16">
      <c r="A17" s="61"/>
      <c r="B17" s="61"/>
      <c r="C17" s="61"/>
      <c r="D17" s="2"/>
      <c r="P17" s="2"/>
    </row>
    <row r="18" s="1" customFormat="1" spans="1:16">
      <c r="D18" s="2"/>
      <c r="P18" s="2"/>
    </row>
    <row r="19" s="1" customFormat="1" spans="1:16">
      <c r="D19" s="2"/>
      <c r="P19" s="2"/>
    </row>
    <row r="20" s="1" customFormat="1" spans="1:16">
      <c r="D20" s="2"/>
      <c r="P20" s="2"/>
    </row>
    <row r="21" s="1" customFormat="1" spans="1:16">
      <c r="D21" s="2"/>
    </row>
    <row r="22" s="1" customFormat="1" spans="1:16">
      <c r="D22" s="2"/>
    </row>
    <row r="23" s="1" customFormat="1" spans="1:16">
      <c r="D23" s="2"/>
    </row>
    <row r="24" s="1" customFormat="1" spans="1:16">
      <c r="D24" s="2"/>
    </row>
    <row r="25" s="1" customFormat="1" spans="1:16">
      <c r="D25" s="2"/>
    </row>
    <row r="26" s="1" customFormat="1" spans="1:16">
      <c r="D26" s="2"/>
    </row>
    <row r="27" s="1" customFormat="1" spans="1:16">
      <c r="D27" s="2"/>
    </row>
    <row r="28" s="1" customFormat="1" spans="1:16">
      <c r="D28" s="2"/>
    </row>
    <row r="29" s="1" customFormat="1" spans="1:16">
      <c r="D29" s="2"/>
    </row>
    <row r="30" s="1" customFormat="1" spans="1:16">
      <c r="D30" s="2"/>
    </row>
    <row r="31" s="1" customFormat="1" spans="1:16">
      <c r="D31" s="2"/>
    </row>
    <row r="32" s="1" customFormat="1" spans="1:16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</sheetData>
  <mergeCells count="56">
    <mergeCell ref="A1:Q1"/>
    <mergeCell ref="A2:C2"/>
    <mergeCell ref="D2:G2"/>
    <mergeCell ref="H2:J2"/>
    <mergeCell ref="K2:L2"/>
    <mergeCell ref="M2:Q2"/>
    <mergeCell ref="A3:C3"/>
    <mergeCell ref="D3:G3"/>
    <mergeCell ref="H3:J3"/>
    <mergeCell ref="K3:L3"/>
    <mergeCell ref="M3:Q3"/>
    <mergeCell ref="A4:C4"/>
    <mergeCell ref="E4:G4"/>
    <mergeCell ref="H4:I4"/>
    <mergeCell ref="J4:O4"/>
    <mergeCell ref="P4:Q4"/>
    <mergeCell ref="E5:G5"/>
    <mergeCell ref="H5:I5"/>
    <mergeCell ref="K5:L5"/>
    <mergeCell ref="P5:Q5"/>
    <mergeCell ref="E6:G6"/>
    <mergeCell ref="H6:I6"/>
    <mergeCell ref="K6:L6"/>
    <mergeCell ref="P6:Q6"/>
    <mergeCell ref="E7:G7"/>
    <mergeCell ref="H7:I7"/>
    <mergeCell ref="K7:L7"/>
    <mergeCell ref="P7:Q7"/>
    <mergeCell ref="E8:G8"/>
    <mergeCell ref="H8:I8"/>
    <mergeCell ref="K8:L8"/>
    <mergeCell ref="P8:Q8"/>
    <mergeCell ref="E9:F9"/>
    <mergeCell ref="H9:I9"/>
    <mergeCell ref="K9:L9"/>
    <mergeCell ref="P9:Q9"/>
    <mergeCell ref="E10:G10"/>
    <mergeCell ref="H10:I10"/>
    <mergeCell ref="K10:L10"/>
    <mergeCell ref="P10:Q10"/>
    <mergeCell ref="A11:B11"/>
    <mergeCell ref="E11:G11"/>
    <mergeCell ref="H11:I11"/>
    <mergeCell ref="J11:O11"/>
    <mergeCell ref="P11:Q11"/>
    <mergeCell ref="A12:G12"/>
    <mergeCell ref="H12:I12"/>
    <mergeCell ref="J12:O12"/>
    <mergeCell ref="P12:Q12"/>
    <mergeCell ref="A13:Q13"/>
    <mergeCell ref="J14:K14"/>
    <mergeCell ref="Q14:R14"/>
    <mergeCell ref="J15:K15"/>
    <mergeCell ref="Q15:R15"/>
    <mergeCell ref="A5:A8"/>
    <mergeCell ref="A9:A10"/>
  </mergeCells>
  <dataValidations count="1">
    <dataValidation type="list" allowBlank="1" showInputMessage="1" showErrorMessage="1" sqref="H12">
      <formula1>"A+,A,B+,B,C,（绩效等级确定后在此处填写）"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指标分类说明及指标制定原则</vt:lpstr>
      <vt:lpstr>评分规则（建议）</vt:lpstr>
      <vt:lpstr>刘朋</vt:lpstr>
      <vt:lpstr>马国平</vt:lpstr>
      <vt:lpstr>陈涣坚</vt:lpstr>
      <vt:lpstr>刘涵</vt:lpstr>
      <vt:lpstr>董祖皇</vt:lpstr>
      <vt:lpstr>薛桐</vt:lpstr>
      <vt:lpstr>陈龙利</vt:lpstr>
      <vt:lpstr>杨廷彦</vt:lpstr>
      <vt:lpstr>刘卓然</vt:lpstr>
      <vt:lpstr>郭凯</vt:lpstr>
      <vt:lpstr>刘小芳</vt:lpstr>
      <vt:lpstr>张元</vt:lpstr>
      <vt:lpstr>张芬</vt:lpstr>
      <vt:lpstr>梁海波</vt:lpstr>
      <vt:lpstr>马宝义</vt:lpstr>
      <vt:lpstr>刘卿</vt:lpstr>
      <vt:lpstr>索莹</vt:lpstr>
      <vt:lpstr>姚省军</vt:lpstr>
      <vt:lpstr>张道平</vt:lpstr>
      <vt:lpstr>周天敏</vt:lpstr>
      <vt:lpstr>杨洵</vt:lpstr>
      <vt:lpstr>李晓辉</vt:lpstr>
      <vt:lpstr>王添富</vt:lpstr>
      <vt:lpstr>范浩彬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Peng Liu</cp:lastModifiedBy>
  <dcterms:created xsi:type="dcterms:W3CDTF">2023-01-30T06:39:00Z</dcterms:created>
  <dcterms:modified xsi:type="dcterms:W3CDTF">2026-01-25T19:24:21Z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36DDA6D4AE214ED9B6124E0CB45DF0DB_13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